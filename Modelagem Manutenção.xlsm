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arci\Documents\Projetos\Meus projetos\manutencao\"/>
    </mc:Choice>
  </mc:AlternateContent>
  <xr:revisionPtr revIDLastSave="0" documentId="13_ncr:1_{1529F927-3A77-4414-901F-A1546986A8CF}" xr6:coauthVersionLast="47" xr6:coauthVersionMax="47" xr10:uidLastSave="{00000000-0000-0000-0000-000000000000}"/>
  <bookViews>
    <workbookView xWindow="-120" yWindow="-120" windowWidth="20730" windowHeight="11160" tabRatio="698" xr2:uid="{00000000-000D-0000-FFFF-FFFF00000000}"/>
  </bookViews>
  <sheets>
    <sheet name="Modelagem" sheetId="14" r:id="rId1"/>
    <sheet name="Dados Falhas" sheetId="1" r:id="rId2"/>
    <sheet name="Análises Quantitativas de Falha" sheetId="16" r:id="rId3"/>
    <sheet name="Weibull Prensa I" sheetId="6" r:id="rId4"/>
    <sheet name="Weibull Prensa IV" sheetId="4" r:id="rId5"/>
    <sheet name="Weibull Misturador" sheetId="7" r:id="rId6"/>
    <sheet name="Weibull Embaladora" sheetId="8" r:id="rId7"/>
    <sheet name="Weibull Envasadora" sheetId="10" r:id="rId8"/>
    <sheet name="Weibull Líquidos" sheetId="12" r:id="rId9"/>
    <sheet name="Resumo Confiabilidade" sheetId="18" r:id="rId10"/>
    <sheet name="Custos" sheetId="19" r:id="rId11"/>
    <sheet name="Descrição das variáveis" sheetId="20" r:id="rId12"/>
    <sheet name="Cenário 1" sheetId="21" r:id="rId13"/>
    <sheet name="Cenário 2" sheetId="23" r:id="rId14"/>
    <sheet name="Cenário 3" sheetId="24" r:id="rId15"/>
    <sheet name="Cenário 4" sheetId="25" r:id="rId16"/>
  </sheets>
  <definedNames>
    <definedName name="_xlnm._FilterDatabase" localSheetId="2" hidden="1">'Análises Quantitativas de Falha'!#REF!</definedName>
    <definedName name="_xlnm._FilterDatabase" localSheetId="1" hidden="1">'Dados Falhas'!$B$10:$N$35</definedName>
    <definedName name="solver_adj" localSheetId="0" hidden="1">Modelagem!$B$23:$B$28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ng" localSheetId="6" hidden="1">1</definedName>
    <definedName name="solver_est" localSheetId="0" hidden="1">1</definedName>
    <definedName name="solver_itr" localSheetId="0" hidden="1">100</definedName>
    <definedName name="solver_lhs1" localSheetId="0" hidden="1">Modelagem!$B$23:$B$28</definedName>
    <definedName name="solver_lhs2" localSheetId="0" hidden="1">Modelagem!$L$15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6" hidden="1">1</definedName>
    <definedName name="solver_nod" localSheetId="0" hidden="1">2147483647</definedName>
    <definedName name="solver_num" localSheetId="0" hidden="1">2</definedName>
    <definedName name="solver_num" localSheetId="6" hidden="1">0</definedName>
    <definedName name="solver_nwt" localSheetId="0" hidden="1">1</definedName>
    <definedName name="solver_opt" localSheetId="0" hidden="1">Modelagem!$L$14</definedName>
    <definedName name="solver_opt" localSheetId="6" hidden="1">'Weibull Embaladora'!$T$7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hs1" localSheetId="0" hidden="1">"binário"</definedName>
    <definedName name="solver_rhs2" localSheetId="0" hidden="1">Modelagem!$G$4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typ" localSheetId="6" hidden="1">1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1" i="25" l="1"/>
  <c r="J43" i="21"/>
  <c r="BK13" i="25"/>
  <c r="BK12" i="25"/>
  <c r="BK11" i="25"/>
  <c r="BK10" i="25"/>
  <c r="BK9" i="25"/>
  <c r="BK8" i="25"/>
  <c r="AS12" i="25"/>
  <c r="AS10" i="25"/>
  <c r="AS8" i="25"/>
  <c r="AJ13" i="25"/>
  <c r="AJ12" i="25"/>
  <c r="AJ11" i="25"/>
  <c r="AJ10" i="25"/>
  <c r="AJ9" i="25"/>
  <c r="AJ8" i="25"/>
  <c r="AA13" i="25"/>
  <c r="AA12" i="25"/>
  <c r="AA11" i="25"/>
  <c r="AA10" i="25"/>
  <c r="AA9" i="25"/>
  <c r="AA8" i="25"/>
  <c r="R13" i="25"/>
  <c r="R12" i="25"/>
  <c r="R11" i="25"/>
  <c r="R10" i="25"/>
  <c r="R9" i="25"/>
  <c r="R8" i="25"/>
  <c r="I9" i="25"/>
  <c r="I13" i="25"/>
  <c r="I12" i="25"/>
  <c r="I11" i="25"/>
  <c r="I10" i="25"/>
  <c r="I8" i="25"/>
  <c r="BB10" i="25" l="1"/>
  <c r="BB11" i="25"/>
  <c r="BB8" i="25"/>
  <c r="BB12" i="25"/>
  <c r="BB9" i="25"/>
  <c r="BB13" i="25"/>
  <c r="AS11" i="25"/>
  <c r="AS9" i="25"/>
  <c r="AS13" i="25"/>
  <c r="AF11" i="24"/>
  <c r="AF10" i="24"/>
  <c r="AF9" i="24"/>
  <c r="AF8" i="24"/>
  <c r="AF7" i="24"/>
  <c r="AF6" i="24"/>
  <c r="X11" i="24"/>
  <c r="P11" i="24"/>
  <c r="H11" i="24"/>
  <c r="X10" i="24"/>
  <c r="P10" i="24"/>
  <c r="H10" i="24"/>
  <c r="X9" i="24"/>
  <c r="P9" i="24"/>
  <c r="H9" i="24"/>
  <c r="X8" i="24"/>
  <c r="P8" i="24"/>
  <c r="H8" i="24"/>
  <c r="X7" i="24"/>
  <c r="P7" i="24"/>
  <c r="H7" i="24"/>
  <c r="X6" i="24"/>
  <c r="P6" i="24"/>
  <c r="H6" i="24"/>
  <c r="AP12" i="23"/>
  <c r="AN5" i="23"/>
  <c r="AN6" i="23"/>
  <c r="AN7" i="23"/>
  <c r="AN8" i="23"/>
  <c r="AN9" i="23"/>
  <c r="AN10" i="23"/>
  <c r="X10" i="23"/>
  <c r="X9" i="23"/>
  <c r="X8" i="23"/>
  <c r="X7" i="23"/>
  <c r="X6" i="23"/>
  <c r="X5" i="23"/>
  <c r="P10" i="23"/>
  <c r="P9" i="23"/>
  <c r="P8" i="23"/>
  <c r="P7" i="23"/>
  <c r="P6" i="23"/>
  <c r="P5" i="23"/>
  <c r="H6" i="23"/>
  <c r="H10" i="23"/>
  <c r="H9" i="23"/>
  <c r="H8" i="23"/>
  <c r="H7" i="23"/>
  <c r="H5" i="23"/>
  <c r="AF6" i="23"/>
  <c r="AF7" i="23"/>
  <c r="AF8" i="23"/>
  <c r="AF9" i="23"/>
  <c r="AF10" i="23"/>
  <c r="AF5" i="23"/>
  <c r="J7" i="14" l="1"/>
  <c r="E16" i="19"/>
  <c r="E17" i="19"/>
  <c r="E18" i="19"/>
  <c r="E19" i="19"/>
  <c r="E20" i="19"/>
  <c r="E15" i="19"/>
  <c r="D11" i="16"/>
  <c r="D12" i="12" l="1"/>
  <c r="D13" i="12"/>
  <c r="D14" i="12"/>
  <c r="D15" i="12"/>
  <c r="D16" i="12"/>
  <c r="D17" i="12"/>
  <c r="D11" i="12"/>
  <c r="C15" i="12"/>
  <c r="C16" i="12"/>
  <c r="C17" i="12"/>
  <c r="C11" i="12"/>
  <c r="C12" i="12"/>
  <c r="C13" i="12"/>
  <c r="C14" i="12"/>
  <c r="D20" i="10"/>
  <c r="D13" i="10"/>
  <c r="D14" i="10"/>
  <c r="D15" i="10"/>
  <c r="D16" i="10"/>
  <c r="D17" i="10"/>
  <c r="D18" i="10"/>
  <c r="D19" i="10"/>
  <c r="D21" i="10"/>
  <c r="D22" i="10"/>
  <c r="D23" i="10"/>
  <c r="D12" i="10"/>
  <c r="D11" i="10"/>
  <c r="C14" i="10"/>
  <c r="C15" i="10"/>
  <c r="C16" i="10"/>
  <c r="C17" i="10"/>
  <c r="C18" i="10"/>
  <c r="C19" i="10"/>
  <c r="C20" i="10"/>
  <c r="C21" i="10"/>
  <c r="C22" i="10"/>
  <c r="C23" i="10"/>
  <c r="C12" i="10"/>
  <c r="C13" i="10"/>
  <c r="C11" i="10"/>
  <c r="D12" i="6"/>
  <c r="D13" i="6"/>
  <c r="D14" i="6"/>
  <c r="D15" i="6"/>
  <c r="D16" i="6"/>
  <c r="D17" i="6"/>
  <c r="D18" i="6"/>
  <c r="D19" i="6"/>
  <c r="D11" i="6"/>
  <c r="D13" i="7"/>
  <c r="D14" i="7"/>
  <c r="D15" i="7"/>
  <c r="D16" i="7"/>
  <c r="D17" i="7"/>
  <c r="D18" i="7"/>
  <c r="D19" i="7"/>
  <c r="D20" i="7"/>
  <c r="D21" i="7"/>
  <c r="D22" i="7"/>
  <c r="D23" i="7"/>
  <c r="D24" i="7"/>
  <c r="D12" i="7"/>
  <c r="D11" i="7"/>
  <c r="C17" i="8"/>
  <c r="C12" i="8"/>
  <c r="C13" i="8"/>
  <c r="C14" i="8"/>
  <c r="C15" i="8"/>
  <c r="C16" i="8"/>
  <c r="C11" i="8"/>
  <c r="D12" i="8"/>
  <c r="D13" i="8"/>
  <c r="D14" i="8"/>
  <c r="D15" i="8"/>
  <c r="D16" i="8"/>
  <c r="D11" i="8"/>
  <c r="D15" i="16"/>
  <c r="G15" i="16" s="1"/>
  <c r="F15" i="19" s="1"/>
  <c r="G15" i="19" l="1"/>
  <c r="C12" i="6"/>
  <c r="C13" i="6"/>
  <c r="C14" i="6"/>
  <c r="C15" i="6"/>
  <c r="C16" i="6"/>
  <c r="C17" i="6"/>
  <c r="C18" i="6"/>
  <c r="C19" i="6"/>
  <c r="C11" i="6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11" i="7"/>
  <c r="C12" i="4"/>
  <c r="C11" i="4" l="1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D12" i="4" l="1"/>
  <c r="D11" i="4"/>
  <c r="D13" i="4"/>
  <c r="I23" i="14"/>
  <c r="N7" i="14" s="1"/>
  <c r="E11" i="16"/>
  <c r="E16" i="16" s="1"/>
  <c r="H16" i="16" s="1"/>
  <c r="H16" i="19" s="1"/>
  <c r="D18" i="16"/>
  <c r="G18" i="16" s="1"/>
  <c r="D19" i="16"/>
  <c r="G19" i="16" s="1"/>
  <c r="D20" i="16"/>
  <c r="G20" i="16" s="1"/>
  <c r="D17" i="16"/>
  <c r="G17" i="16" s="1"/>
  <c r="D16" i="16"/>
  <c r="G16" i="16" s="1"/>
  <c r="F17" i="19" l="1"/>
  <c r="I25" i="14" s="1"/>
  <c r="N9" i="14" s="1"/>
  <c r="G17" i="19"/>
  <c r="F16" i="19"/>
  <c r="I24" i="14" s="1"/>
  <c r="N8" i="14" s="1"/>
  <c r="G16" i="19"/>
  <c r="F20" i="19"/>
  <c r="I28" i="14" s="1"/>
  <c r="N12" i="14" s="1"/>
  <c r="G20" i="19"/>
  <c r="F18" i="19"/>
  <c r="I26" i="14" s="1"/>
  <c r="N10" i="14" s="1"/>
  <c r="G18" i="19"/>
  <c r="F19" i="19"/>
  <c r="I27" i="14" s="1"/>
  <c r="N11" i="14" s="1"/>
  <c r="G19" i="19"/>
  <c r="E19" i="16"/>
  <c r="E15" i="16"/>
  <c r="E18" i="16"/>
  <c r="E17" i="16"/>
  <c r="F16" i="16"/>
  <c r="J16" i="16" s="1"/>
  <c r="E20" i="16"/>
  <c r="F18" i="16" l="1"/>
  <c r="J18" i="16" s="1"/>
  <c r="H18" i="16"/>
  <c r="F20" i="16"/>
  <c r="J20" i="16" s="1"/>
  <c r="K20" i="16" s="1"/>
  <c r="H20" i="16"/>
  <c r="F17" i="16"/>
  <c r="J17" i="16" s="1"/>
  <c r="H17" i="16"/>
  <c r="F19" i="16"/>
  <c r="J19" i="16" s="1"/>
  <c r="H19" i="16"/>
  <c r="F15" i="16"/>
  <c r="J15" i="16" s="1"/>
  <c r="H15" i="16"/>
  <c r="K25" i="14"/>
  <c r="M25" i="14"/>
  <c r="K27" i="14"/>
  <c r="M27" i="14"/>
  <c r="K24" i="14"/>
  <c r="M24" i="14"/>
  <c r="K26" i="14"/>
  <c r="M26" i="14"/>
  <c r="K28" i="14"/>
  <c r="M28" i="14"/>
  <c r="K23" i="14"/>
  <c r="M23" i="14"/>
  <c r="L24" i="14"/>
  <c r="N24" i="14"/>
  <c r="K16" i="16"/>
  <c r="J8" i="14"/>
  <c r="J9" i="14"/>
  <c r="J10" i="14"/>
  <c r="J11" i="14"/>
  <c r="J12" i="14"/>
  <c r="K15" i="16" l="1"/>
  <c r="H20" i="19"/>
  <c r="L28" i="14" s="1"/>
  <c r="H18" i="19"/>
  <c r="L26" i="14" s="1"/>
  <c r="H19" i="19"/>
  <c r="L27" i="14" s="1"/>
  <c r="H17" i="19"/>
  <c r="N25" i="14" s="1"/>
  <c r="H15" i="19"/>
  <c r="L23" i="14" s="1"/>
  <c r="K19" i="16"/>
  <c r="K18" i="16"/>
  <c r="K17" i="16"/>
  <c r="N26" i="14" l="1"/>
  <c r="N27" i="14"/>
  <c r="L25" i="14"/>
  <c r="N28" i="14"/>
  <c r="N23" i="14"/>
  <c r="L15" i="14"/>
  <c r="E12" i="12"/>
  <c r="F12" i="12" s="1"/>
  <c r="E16" i="12"/>
  <c r="F16" i="12" s="1"/>
  <c r="E11" i="12"/>
  <c r="F11" i="12" s="1"/>
  <c r="G17" i="12"/>
  <c r="E17" i="12"/>
  <c r="F17" i="12" s="1"/>
  <c r="G16" i="12"/>
  <c r="G15" i="12"/>
  <c r="E15" i="12"/>
  <c r="F15" i="12" s="1"/>
  <c r="G14" i="12"/>
  <c r="E14" i="12"/>
  <c r="F14" i="12" s="1"/>
  <c r="G13" i="12"/>
  <c r="E13" i="12"/>
  <c r="F13" i="12" s="1"/>
  <c r="G12" i="12"/>
  <c r="G11" i="12"/>
  <c r="J10" i="12" l="1"/>
  <c r="J11" i="12" s="1"/>
  <c r="J17" i="12" s="1"/>
  <c r="H5" i="18" l="1"/>
  <c r="H4" i="18"/>
  <c r="H26" i="18" s="1"/>
  <c r="H36" i="18"/>
  <c r="H42" i="18"/>
  <c r="H25" i="18"/>
  <c r="H35" i="18"/>
  <c r="H37" i="18"/>
  <c r="H49" i="18"/>
  <c r="H11" i="18"/>
  <c r="H45" i="18" l="1"/>
  <c r="H19" i="18"/>
  <c r="H29" i="18"/>
  <c r="H13" i="18"/>
  <c r="H41" i="18"/>
  <c r="H27" i="18"/>
  <c r="H8" i="18"/>
  <c r="H43" i="18"/>
  <c r="H33" i="18"/>
  <c r="H21" i="18"/>
  <c r="H50" i="18"/>
  <c r="H44" i="18"/>
  <c r="H17" i="18"/>
  <c r="H46" i="18"/>
  <c r="H30" i="18"/>
  <c r="H38" i="18"/>
  <c r="H20" i="18"/>
  <c r="H34" i="18"/>
  <c r="H16" i="18"/>
  <c r="H14" i="18"/>
  <c r="H22" i="18"/>
  <c r="H12" i="18"/>
  <c r="H28" i="18"/>
  <c r="H18" i="18"/>
  <c r="H47" i="18"/>
  <c r="H39" i="18"/>
  <c r="H31" i="18"/>
  <c r="H23" i="18"/>
  <c r="H15" i="18"/>
  <c r="H48" i="18"/>
  <c r="H40" i="18"/>
  <c r="H32" i="18"/>
  <c r="H24" i="18"/>
  <c r="C28" i="14"/>
  <c r="H70" i="18"/>
  <c r="H65" i="18"/>
  <c r="H67" i="18"/>
  <c r="H52" i="18"/>
  <c r="H54" i="18"/>
  <c r="H56" i="18"/>
  <c r="H58" i="18"/>
  <c r="H60" i="18"/>
  <c r="H62" i="18"/>
  <c r="H64" i="18"/>
  <c r="H69" i="18"/>
  <c r="H66" i="18"/>
  <c r="H68" i="18"/>
  <c r="H53" i="18"/>
  <c r="H55" i="18"/>
  <c r="H57" i="18"/>
  <c r="H59" i="18"/>
  <c r="H61" i="18"/>
  <c r="H63" i="18"/>
  <c r="H51" i="18"/>
  <c r="E14" i="10"/>
  <c r="F14" i="10" s="1"/>
  <c r="E15" i="10"/>
  <c r="F15" i="10" s="1"/>
  <c r="E16" i="10"/>
  <c r="F16" i="10" s="1"/>
  <c r="E18" i="10"/>
  <c r="F18" i="10" s="1"/>
  <c r="E19" i="10"/>
  <c r="F19" i="10" s="1"/>
  <c r="E20" i="10"/>
  <c r="F20" i="10" s="1"/>
  <c r="E22" i="10"/>
  <c r="F22" i="10" s="1"/>
  <c r="E11" i="10"/>
  <c r="F11" i="10" s="1"/>
  <c r="G23" i="10"/>
  <c r="E23" i="10"/>
  <c r="F23" i="10" s="1"/>
  <c r="G22" i="10"/>
  <c r="G21" i="10"/>
  <c r="E21" i="10"/>
  <c r="F21" i="10" s="1"/>
  <c r="G20" i="10"/>
  <c r="G19" i="10"/>
  <c r="G18" i="10"/>
  <c r="G17" i="10"/>
  <c r="E17" i="10"/>
  <c r="F17" i="10" s="1"/>
  <c r="G16" i="10"/>
  <c r="G15" i="10"/>
  <c r="G14" i="10"/>
  <c r="G13" i="10"/>
  <c r="E13" i="10"/>
  <c r="F13" i="10" s="1"/>
  <c r="G12" i="10"/>
  <c r="E12" i="10"/>
  <c r="F12" i="10" s="1"/>
  <c r="G11" i="10"/>
  <c r="E12" i="8"/>
  <c r="F12" i="8" s="1"/>
  <c r="E13" i="8"/>
  <c r="F13" i="8" s="1"/>
  <c r="E15" i="8"/>
  <c r="F15" i="8" s="1"/>
  <c r="E16" i="8"/>
  <c r="F16" i="8" s="1"/>
  <c r="E11" i="8"/>
  <c r="F11" i="8" s="1"/>
  <c r="G16" i="8"/>
  <c r="G15" i="8"/>
  <c r="G14" i="8"/>
  <c r="E14" i="8"/>
  <c r="F14" i="8" s="1"/>
  <c r="G13" i="8"/>
  <c r="G12" i="8"/>
  <c r="G11" i="8"/>
  <c r="G20" i="7"/>
  <c r="G21" i="7"/>
  <c r="G22" i="7"/>
  <c r="G23" i="7"/>
  <c r="G24" i="7"/>
  <c r="G12" i="7"/>
  <c r="E13" i="7"/>
  <c r="F13" i="7" s="1"/>
  <c r="E14" i="7"/>
  <c r="F14" i="7" s="1"/>
  <c r="E15" i="7"/>
  <c r="F15" i="7" s="1"/>
  <c r="E17" i="7"/>
  <c r="F17" i="7" s="1"/>
  <c r="E18" i="7"/>
  <c r="F18" i="7" s="1"/>
  <c r="E19" i="7"/>
  <c r="F19" i="7" s="1"/>
  <c r="E20" i="7"/>
  <c r="F20" i="7" s="1"/>
  <c r="E21" i="7"/>
  <c r="F21" i="7" s="1"/>
  <c r="E22" i="7"/>
  <c r="F22" i="7" s="1"/>
  <c r="E23" i="7"/>
  <c r="F23" i="7" s="1"/>
  <c r="E24" i="7"/>
  <c r="F24" i="7" s="1"/>
  <c r="E11" i="7"/>
  <c r="F11" i="7" s="1"/>
  <c r="G19" i="7"/>
  <c r="G18" i="7"/>
  <c r="G17" i="7"/>
  <c r="G16" i="7"/>
  <c r="E16" i="7"/>
  <c r="F16" i="7" s="1"/>
  <c r="G15" i="7"/>
  <c r="G14" i="7"/>
  <c r="G13" i="7"/>
  <c r="E12" i="7"/>
  <c r="F12" i="7" s="1"/>
  <c r="G11" i="7"/>
  <c r="E11" i="6"/>
  <c r="F11" i="6" s="1"/>
  <c r="E12" i="6"/>
  <c r="F12" i="6" s="1"/>
  <c r="E13" i="6"/>
  <c r="F13" i="6" s="1"/>
  <c r="E15" i="6"/>
  <c r="F15" i="6" s="1"/>
  <c r="E16" i="6"/>
  <c r="F16" i="6" s="1"/>
  <c r="E17" i="6"/>
  <c r="F17" i="6" s="1"/>
  <c r="E18" i="6"/>
  <c r="F18" i="6" s="1"/>
  <c r="E19" i="6"/>
  <c r="F19" i="6" s="1"/>
  <c r="G11" i="6"/>
  <c r="G12" i="6"/>
  <c r="G15" i="6"/>
  <c r="G13" i="6"/>
  <c r="G18" i="6"/>
  <c r="G19" i="6"/>
  <c r="G14" i="6"/>
  <c r="E14" i="6"/>
  <c r="F14" i="6" s="1"/>
  <c r="G16" i="6"/>
  <c r="G17" i="6"/>
  <c r="J10" i="7" l="1"/>
  <c r="J10" i="10"/>
  <c r="J11" i="10" s="1"/>
  <c r="G5" i="18" s="1"/>
  <c r="F28" i="14"/>
  <c r="H28" i="14" s="1"/>
  <c r="E28" i="14"/>
  <c r="J10" i="6"/>
  <c r="J11" i="6" s="1"/>
  <c r="J10" i="8"/>
  <c r="J11" i="8" s="1"/>
  <c r="J11" i="7" l="1"/>
  <c r="D5" i="18" s="1"/>
  <c r="D25" i="18" s="1"/>
  <c r="D4" i="18"/>
  <c r="E4" i="18"/>
  <c r="P28" i="14"/>
  <c r="O12" i="14" s="1"/>
  <c r="G4" i="18"/>
  <c r="C27" i="14" s="1"/>
  <c r="J17" i="10"/>
  <c r="J17" i="6"/>
  <c r="E5" i="18"/>
  <c r="J17" i="7"/>
  <c r="F4" i="18"/>
  <c r="F5" i="18"/>
  <c r="J17" i="8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11" i="4"/>
  <c r="G35" i="18" l="1"/>
  <c r="G18" i="18"/>
  <c r="E23" i="18"/>
  <c r="E31" i="18"/>
  <c r="E47" i="18"/>
  <c r="G26" i="18"/>
  <c r="G47" i="18"/>
  <c r="G44" i="18"/>
  <c r="C25" i="14"/>
  <c r="F25" i="14" s="1"/>
  <c r="H25" i="14" s="1"/>
  <c r="E11" i="18"/>
  <c r="E15" i="18"/>
  <c r="G31" i="18"/>
  <c r="G15" i="18"/>
  <c r="G40" i="18"/>
  <c r="G30" i="18"/>
  <c r="G22" i="18"/>
  <c r="D27" i="18"/>
  <c r="E35" i="18"/>
  <c r="G49" i="18"/>
  <c r="G36" i="18"/>
  <c r="G27" i="18"/>
  <c r="G19" i="18"/>
  <c r="G8" i="18"/>
  <c r="G42" i="18"/>
  <c r="G23" i="18"/>
  <c r="G38" i="18"/>
  <c r="E39" i="18"/>
  <c r="E19" i="18"/>
  <c r="G14" i="18"/>
  <c r="G50" i="18"/>
  <c r="D49" i="18"/>
  <c r="G45" i="18"/>
  <c r="G39" i="18"/>
  <c r="G33" i="18"/>
  <c r="G29" i="18"/>
  <c r="G25" i="18"/>
  <c r="G21" i="18"/>
  <c r="G17" i="18"/>
  <c r="G13" i="18"/>
  <c r="G48" i="18"/>
  <c r="G34" i="18"/>
  <c r="E43" i="18"/>
  <c r="E27" i="18"/>
  <c r="E8" i="18"/>
  <c r="G11" i="18"/>
  <c r="G43" i="18"/>
  <c r="G37" i="18"/>
  <c r="G32" i="18"/>
  <c r="G28" i="18"/>
  <c r="G24" i="18"/>
  <c r="G20" i="18"/>
  <c r="G16" i="18"/>
  <c r="G12" i="18"/>
  <c r="G46" i="18"/>
  <c r="C24" i="14"/>
  <c r="C26" i="14"/>
  <c r="F26" i="14" s="1"/>
  <c r="H26" i="14" s="1"/>
  <c r="G41" i="18"/>
  <c r="E62" i="18"/>
  <c r="E50" i="18"/>
  <c r="E42" i="18"/>
  <c r="E34" i="18"/>
  <c r="E26" i="18"/>
  <c r="E18" i="18"/>
  <c r="D14" i="18"/>
  <c r="E54" i="18"/>
  <c r="E59" i="18"/>
  <c r="E46" i="18"/>
  <c r="E38" i="18"/>
  <c r="E30" i="18"/>
  <c r="E22" i="18"/>
  <c r="E14" i="18"/>
  <c r="E60" i="18"/>
  <c r="E68" i="18"/>
  <c r="D28" i="18"/>
  <c r="E49" i="18"/>
  <c r="E45" i="18"/>
  <c r="E41" i="18"/>
  <c r="E37" i="18"/>
  <c r="E33" i="18"/>
  <c r="E29" i="18"/>
  <c r="E25" i="18"/>
  <c r="E21" i="18"/>
  <c r="E17" i="18"/>
  <c r="E13" i="18"/>
  <c r="D23" i="18"/>
  <c r="D15" i="18"/>
  <c r="E48" i="18"/>
  <c r="E44" i="18"/>
  <c r="E40" i="18"/>
  <c r="E36" i="18"/>
  <c r="E32" i="18"/>
  <c r="E28" i="18"/>
  <c r="E24" i="18"/>
  <c r="E20" i="18"/>
  <c r="E16" i="18"/>
  <c r="E12" i="18"/>
  <c r="E70" i="18"/>
  <c r="D36" i="18"/>
  <c r="D42" i="18"/>
  <c r="D16" i="18"/>
  <c r="D41" i="18"/>
  <c r="D20" i="18"/>
  <c r="D39" i="18"/>
  <c r="D47" i="18"/>
  <c r="E52" i="18"/>
  <c r="E51" i="18"/>
  <c r="E57" i="18"/>
  <c r="E66" i="18"/>
  <c r="D21" i="18"/>
  <c r="D40" i="18"/>
  <c r="D19" i="18"/>
  <c r="D37" i="18"/>
  <c r="D32" i="18"/>
  <c r="D18" i="18"/>
  <c r="D33" i="18"/>
  <c r="D29" i="18"/>
  <c r="D8" i="18"/>
  <c r="F8" i="18"/>
  <c r="F69" i="18"/>
  <c r="F66" i="18"/>
  <c r="F68" i="18"/>
  <c r="F53" i="18"/>
  <c r="F55" i="18"/>
  <c r="F57" i="18"/>
  <c r="F59" i="18"/>
  <c r="F61" i="18"/>
  <c r="F63" i="18"/>
  <c r="F51" i="18"/>
  <c r="F16" i="18"/>
  <c r="F70" i="18"/>
  <c r="F65" i="18"/>
  <c r="F67" i="18"/>
  <c r="F52" i="18"/>
  <c r="F54" i="18"/>
  <c r="F56" i="18"/>
  <c r="F58" i="18"/>
  <c r="F60" i="18"/>
  <c r="F62" i="18"/>
  <c r="F64" i="18"/>
  <c r="F11" i="18"/>
  <c r="D70" i="18"/>
  <c r="D65" i="18"/>
  <c r="D67" i="18"/>
  <c r="D52" i="18"/>
  <c r="D54" i="18"/>
  <c r="D56" i="18"/>
  <c r="D58" i="18"/>
  <c r="D60" i="18"/>
  <c r="D62" i="18"/>
  <c r="D64" i="18"/>
  <c r="D69" i="18"/>
  <c r="D66" i="18"/>
  <c r="D68" i="18"/>
  <c r="D53" i="18"/>
  <c r="D55" i="18"/>
  <c r="D57" i="18"/>
  <c r="D59" i="18"/>
  <c r="D61" i="18"/>
  <c r="D63" i="18"/>
  <c r="D51" i="18"/>
  <c r="G70" i="18"/>
  <c r="G65" i="18"/>
  <c r="G67" i="18"/>
  <c r="G52" i="18"/>
  <c r="G54" i="18"/>
  <c r="G56" i="18"/>
  <c r="G58" i="18"/>
  <c r="G60" i="18"/>
  <c r="G62" i="18"/>
  <c r="G64" i="18"/>
  <c r="G69" i="18"/>
  <c r="G66" i="18"/>
  <c r="G68" i="18"/>
  <c r="G53" i="18"/>
  <c r="G55" i="18"/>
  <c r="G57" i="18"/>
  <c r="G59" i="18"/>
  <c r="G61" i="18"/>
  <c r="G63" i="18"/>
  <c r="G51" i="18"/>
  <c r="E58" i="18"/>
  <c r="E67" i="18"/>
  <c r="E63" i="18"/>
  <c r="E55" i="18"/>
  <c r="E69" i="18"/>
  <c r="D17" i="18"/>
  <c r="D12" i="18"/>
  <c r="D30" i="18"/>
  <c r="D48" i="18"/>
  <c r="D34" i="18"/>
  <c r="D35" i="18"/>
  <c r="D22" i="18"/>
  <c r="E25" i="14"/>
  <c r="E64" i="18"/>
  <c r="E56" i="18"/>
  <c r="E65" i="18"/>
  <c r="E61" i="18"/>
  <c r="E53" i="18"/>
  <c r="D50" i="18"/>
  <c r="D43" i="18"/>
  <c r="D11" i="18"/>
  <c r="D26" i="18"/>
  <c r="D44" i="18"/>
  <c r="D46" i="18"/>
  <c r="D13" i="18"/>
  <c r="D45" i="18"/>
  <c r="D38" i="18"/>
  <c r="D31" i="18"/>
  <c r="D24" i="18"/>
  <c r="F15" i="18"/>
  <c r="F46" i="18"/>
  <c r="F28" i="18"/>
  <c r="F30" i="18"/>
  <c r="F31" i="18"/>
  <c r="F12" i="18"/>
  <c r="F44" i="18"/>
  <c r="F29" i="18"/>
  <c r="F22" i="18"/>
  <c r="F38" i="18"/>
  <c r="F23" i="18"/>
  <c r="F41" i="18"/>
  <c r="F17" i="18"/>
  <c r="F20" i="18"/>
  <c r="F36" i="18"/>
  <c r="F21" i="18"/>
  <c r="F49" i="18"/>
  <c r="F39" i="18"/>
  <c r="F14" i="18"/>
  <c r="F26" i="18"/>
  <c r="F42" i="18"/>
  <c r="F27" i="18"/>
  <c r="F47" i="18"/>
  <c r="F37" i="18"/>
  <c r="F24" i="18"/>
  <c r="F40" i="18"/>
  <c r="F25" i="18"/>
  <c r="F45" i="18"/>
  <c r="F19" i="18"/>
  <c r="F18" i="18"/>
  <c r="F34" i="18"/>
  <c r="F50" i="18"/>
  <c r="F35" i="18"/>
  <c r="F13" i="18"/>
  <c r="F32" i="18"/>
  <c r="F48" i="18"/>
  <c r="F33" i="18"/>
  <c r="F43" i="18"/>
  <c r="E26" i="14" l="1"/>
  <c r="P26" i="14" s="1"/>
  <c r="O10" i="14" s="1"/>
  <c r="F27" i="14"/>
  <c r="H27" i="14" s="1"/>
  <c r="E27" i="14"/>
  <c r="F24" i="14"/>
  <c r="H24" i="14" s="1"/>
  <c r="E24" i="14"/>
  <c r="P25" i="14"/>
  <c r="O9" i="14" s="1"/>
  <c r="P27" i="14" l="1"/>
  <c r="O11" i="14" s="1"/>
  <c r="P24" i="14"/>
  <c r="O8" i="14" s="1"/>
  <c r="D20" i="4"/>
  <c r="D25" i="4"/>
  <c r="D27" i="4"/>
  <c r="D28" i="4"/>
  <c r="D17" i="4"/>
  <c r="D22" i="4"/>
  <c r="D16" i="4"/>
  <c r="D26" i="4"/>
  <c r="D29" i="4"/>
  <c r="D19" i="4"/>
  <c r="D14" i="4"/>
  <c r="D23" i="4"/>
  <c r="D24" i="4"/>
  <c r="D21" i="4"/>
  <c r="D18" i="4"/>
  <c r="D15" i="4"/>
  <c r="E16" i="4" l="1"/>
  <c r="F16" i="4" s="1"/>
  <c r="E20" i="4"/>
  <c r="F20" i="4" s="1"/>
  <c r="E24" i="4"/>
  <c r="F24" i="4" s="1"/>
  <c r="E13" i="4"/>
  <c r="F13" i="4" s="1"/>
  <c r="E22" i="4"/>
  <c r="F22" i="4" s="1"/>
  <c r="E12" i="4"/>
  <c r="F12" i="4" s="1"/>
  <c r="E21" i="4"/>
  <c r="F21" i="4" s="1"/>
  <c r="E27" i="4"/>
  <c r="F27" i="4" s="1"/>
  <c r="E15" i="4"/>
  <c r="F15" i="4" s="1"/>
  <c r="E23" i="4"/>
  <c r="F23" i="4" s="1"/>
  <c r="E29" i="4"/>
  <c r="F29" i="4" s="1"/>
  <c r="E17" i="4"/>
  <c r="F17" i="4" s="1"/>
  <c r="E11" i="4"/>
  <c r="F11" i="4" s="1"/>
  <c r="E19" i="4"/>
  <c r="F19" i="4" s="1"/>
  <c r="E18" i="4"/>
  <c r="F18" i="4" s="1"/>
  <c r="E14" i="4"/>
  <c r="F14" i="4" s="1"/>
  <c r="E26" i="4"/>
  <c r="F26" i="4" s="1"/>
  <c r="E28" i="4"/>
  <c r="F28" i="4" s="1"/>
  <c r="E25" i="4"/>
  <c r="F25" i="4" s="1"/>
  <c r="J10" i="4" l="1"/>
  <c r="J11" i="4" s="1"/>
  <c r="J17" i="4" s="1"/>
  <c r="C4" i="18" l="1"/>
  <c r="C5" i="18"/>
  <c r="C23" i="14" s="1"/>
  <c r="C13" i="18" l="1"/>
  <c r="C14" i="18"/>
  <c r="C70" i="18"/>
  <c r="C65" i="18"/>
  <c r="C67" i="18"/>
  <c r="C52" i="18"/>
  <c r="C54" i="18"/>
  <c r="C56" i="18"/>
  <c r="C58" i="18"/>
  <c r="C60" i="18"/>
  <c r="C62" i="18"/>
  <c r="C64" i="18"/>
  <c r="C8" i="18"/>
  <c r="C69" i="18"/>
  <c r="C66" i="18"/>
  <c r="C68" i="18"/>
  <c r="C53" i="18"/>
  <c r="C55" i="18"/>
  <c r="C57" i="18"/>
  <c r="C59" i="18"/>
  <c r="C61" i="18"/>
  <c r="C63" i="18"/>
  <c r="C51" i="18"/>
  <c r="C40" i="18"/>
  <c r="C32" i="18"/>
  <c r="C30" i="18"/>
  <c r="C43" i="18"/>
  <c r="C38" i="18"/>
  <c r="C47" i="18"/>
  <c r="C39" i="18"/>
  <c r="C20" i="18"/>
  <c r="C35" i="18"/>
  <c r="C23" i="18"/>
  <c r="C33" i="18"/>
  <c r="C22" i="18"/>
  <c r="C41" i="18"/>
  <c r="C29" i="18"/>
  <c r="C12" i="18"/>
  <c r="C28" i="18"/>
  <c r="C15" i="18"/>
  <c r="C37" i="18"/>
  <c r="C44" i="18"/>
  <c r="C31" i="18"/>
  <c r="C11" i="18"/>
  <c r="C48" i="18"/>
  <c r="C21" i="18"/>
  <c r="C19" i="18"/>
  <c r="C36" i="18"/>
  <c r="C50" i="18"/>
  <c r="C24" i="18"/>
  <c r="C42" i="18"/>
  <c r="C45" i="18"/>
  <c r="C25" i="18"/>
  <c r="C16" i="18"/>
  <c r="C27" i="18"/>
  <c r="C46" i="18"/>
  <c r="C17" i="18"/>
  <c r="C49" i="18"/>
  <c r="C26" i="18"/>
  <c r="C18" i="18"/>
  <c r="C34" i="18"/>
  <c r="F23" i="14" l="1"/>
  <c r="H23" i="14" s="1"/>
  <c r="E23" i="14"/>
  <c r="P23" i="14" l="1"/>
  <c r="O7" i="14" l="1"/>
  <c r="L14" i="14"/>
  <c r="L16" i="14" s="1"/>
  <c r="M16" i="14" s="1"/>
  <c r="M15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Arthur_PC</author>
  </authors>
  <commentList>
    <comment ref="D30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Arthur_PC:</t>
        </r>
        <r>
          <rPr>
            <sz val="9"/>
            <color indexed="81"/>
            <rFont val="Segoe UI"/>
            <family val="2"/>
          </rPr>
          <t xml:space="preserve">
Verificar como ignorar vazio.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Tarciso</author>
  </authors>
  <commentList>
    <comment ref="C10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Tarciso:</t>
        </r>
        <r>
          <rPr>
            <sz val="9"/>
            <color indexed="81"/>
            <rFont val="Segoe UI"/>
            <family val="2"/>
          </rPr>
          <t xml:space="preserve">
Tempo Até a falha
</t>
        </r>
      </text>
    </comment>
    <comment ref="D10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Tarciso:</t>
        </r>
        <r>
          <rPr>
            <sz val="9"/>
            <color indexed="81"/>
            <rFont val="Segoe UI"/>
            <family val="2"/>
          </rPr>
          <t xml:space="preserve">
É uma estimativa inicial para os valores de probabilidade. É o valor que a verdadeira probabilidade de falha deveria ter a um nível de 50% de confiança. É conhecida como aproximação de Bernard</t>
        </r>
      </text>
    </comment>
  </commentList>
</comments>
</file>

<file path=xl/sharedStrings.xml><?xml version="1.0" encoding="utf-8"?>
<sst xmlns="http://schemas.openxmlformats.org/spreadsheetml/2006/main" count="721" uniqueCount="113">
  <si>
    <t>PRENSA IV</t>
  </si>
  <si>
    <t>INTERVALO</t>
  </si>
  <si>
    <t>TEMPO ENTRE FALHAS (min)</t>
  </si>
  <si>
    <t>MISTURADOR</t>
  </si>
  <si>
    <t>PRENSA I</t>
  </si>
  <si>
    <t>EMBALADORA DE PASTILHAS</t>
  </si>
  <si>
    <t>ENVASADORA DE SÓLIDOS</t>
  </si>
  <si>
    <t>Falha Grave</t>
  </si>
  <si>
    <t>DOWN TIME</t>
  </si>
  <si>
    <t>Confiabilidade</t>
  </si>
  <si>
    <t>Falha leve</t>
  </si>
  <si>
    <t>Prensa IV</t>
  </si>
  <si>
    <t>Misturador</t>
  </si>
  <si>
    <t>Prensa I</t>
  </si>
  <si>
    <t>Embaladora de Pastilhas</t>
  </si>
  <si>
    <t>Envasadora de Sólidos</t>
  </si>
  <si>
    <t>INTERVALOS DE FALHA E DOWNTIME</t>
  </si>
  <si>
    <t>TFF Cilindro</t>
  </si>
  <si>
    <t>Rank</t>
  </si>
  <si>
    <t>Median Rank</t>
  </si>
  <si>
    <t>1/(1-Media Rank)</t>
  </si>
  <si>
    <t>Ln(Ln(1/1-Median Rank)))</t>
  </si>
  <si>
    <t>Ln(TFF Cilindro)</t>
  </si>
  <si>
    <t>F</t>
  </si>
  <si>
    <t>β</t>
  </si>
  <si>
    <t>α</t>
  </si>
  <si>
    <t>Tempo de Falha</t>
  </si>
  <si>
    <t>DOWN TIME (min)</t>
  </si>
  <si>
    <t>Líquidos</t>
  </si>
  <si>
    <t>A</t>
  </si>
  <si>
    <t>B</t>
  </si>
  <si>
    <t>C</t>
  </si>
  <si>
    <t>D</t>
  </si>
  <si>
    <t>E</t>
  </si>
  <si>
    <t>Média Downtime</t>
  </si>
  <si>
    <t>Probabilidade de Falha</t>
  </si>
  <si>
    <t>Quantidade de falhas</t>
  </si>
  <si>
    <t>Falhas totais</t>
  </si>
  <si>
    <t>Máquina</t>
  </si>
  <si>
    <t>βi1</t>
  </si>
  <si>
    <t>βi2</t>
  </si>
  <si>
    <t>βi3</t>
  </si>
  <si>
    <t>βi4</t>
  </si>
  <si>
    <t>βi5</t>
  </si>
  <si>
    <t>βi6</t>
  </si>
  <si>
    <t>Ci1</t>
  </si>
  <si>
    <t>Ci2</t>
  </si>
  <si>
    <t>Ci3</t>
  </si>
  <si>
    <t>Ci4</t>
  </si>
  <si>
    <t>Ci5</t>
  </si>
  <si>
    <t>Ci6</t>
  </si>
  <si>
    <t>Decisão da Manutenção</t>
  </si>
  <si>
    <t>Matriz de Probabilidades de Falhas</t>
  </si>
  <si>
    <t>Matriz de Custos de Manutenção Corretiva Em Caso de Falha</t>
  </si>
  <si>
    <t>Pi</t>
  </si>
  <si>
    <t>Custos de Manutenção Preventiva</t>
  </si>
  <si>
    <t>Máquina A</t>
  </si>
  <si>
    <t>Máquina B</t>
  </si>
  <si>
    <t>Máquina C</t>
  </si>
  <si>
    <t>Máquina D</t>
  </si>
  <si>
    <t>Máquina E</t>
  </si>
  <si>
    <t>Máquina F</t>
  </si>
  <si>
    <t>Custo Total Esperado $</t>
  </si>
  <si>
    <t>Custo Com Manutenção Preventiva $</t>
  </si>
  <si>
    <t>Custo com Manutenção Corretiva $</t>
  </si>
  <si>
    <t>Tempo Atual de Funcionamento da Máquina (min)</t>
  </si>
  <si>
    <t>Custos Totais</t>
  </si>
  <si>
    <t>Cti</t>
  </si>
  <si>
    <t>TOMADA DE DECISÃO PARA MANUTENÇÃO PREVENTIVA</t>
  </si>
  <si>
    <t>LÍQUIDOS</t>
  </si>
  <si>
    <t>t</t>
  </si>
  <si>
    <t>Limite Falha Leve</t>
  </si>
  <si>
    <t>Limite Falha Grave</t>
  </si>
  <si>
    <t xml:space="preserve">TFF </t>
  </si>
  <si>
    <t>Ln(TFF)</t>
  </si>
  <si>
    <t>TFF</t>
  </si>
  <si>
    <t>Custo Médio Preventiva (R$)</t>
  </si>
  <si>
    <t>Custo Médio Corretiva (R$)</t>
  </si>
  <si>
    <t>CHP</t>
  </si>
  <si>
    <t>CHCL</t>
  </si>
  <si>
    <t>CHCG</t>
  </si>
  <si>
    <t>Custo Médio Hora Parada (R$)</t>
  </si>
  <si>
    <t>Limite Down Time Falha (min)</t>
  </si>
  <si>
    <t xml:space="preserve">Redução(%) da Chance de Falha Leve C/ Prev </t>
  </si>
  <si>
    <t>Relatório</t>
  </si>
  <si>
    <t>Xi</t>
  </si>
  <si>
    <t>DESCRIÇÃO DAS VARIÁVEIS</t>
  </si>
  <si>
    <t>Tempo (min)</t>
  </si>
  <si>
    <t>Orçamento Disponível para a Manutenção Preventiva ($)</t>
  </si>
  <si>
    <t>Custo Médio Hora Parada ($)</t>
  </si>
  <si>
    <t>DECISÃO</t>
  </si>
  <si>
    <t>CUSTO PREVENTIVA ($)</t>
  </si>
  <si>
    <t>CUSTO CORRETIVA ($)</t>
  </si>
  <si>
    <t>MÁQUINA</t>
  </si>
  <si>
    <t>TEMPO (min)</t>
  </si>
  <si>
    <t>PREVENTIVA</t>
  </si>
  <si>
    <t>N</t>
  </si>
  <si>
    <t>S</t>
  </si>
  <si>
    <t xml:space="preserve">OL = R$ </t>
  </si>
  <si>
    <t>CONFIABILIDADE</t>
  </si>
  <si>
    <t>CUSTO TOTAL DA MÁQUINA</t>
  </si>
  <si>
    <t>ESCOLHI POR CONTA PRÓPRIA MANTER A PREVENTIVA EM F</t>
  </si>
  <si>
    <t>Redução</t>
  </si>
  <si>
    <t>Red. Falha Leve</t>
  </si>
  <si>
    <t>REDUÇÃO DE CUSTO TOTAL R$</t>
  </si>
  <si>
    <t>TRATAMENTO DAS FALHAS</t>
  </si>
  <si>
    <t>CÁLCULO DOS PARÂMETROS DE WEIBULL PARA PRENSA IV</t>
  </si>
  <si>
    <t>CÁLCULO DOS PARÂMETROS DE WEIBULL PARA PRENSA I</t>
  </si>
  <si>
    <t>CÁLCULO DOS PARÂMETROS DE WEIBULL PARA MISTURADOR</t>
  </si>
  <si>
    <t>CÁLCULO DOS PARÂMETROS DE WEIBULL PARA A EMBALADORA</t>
  </si>
  <si>
    <t>CÁLCULO DOS PARÂMETROS DE WEIBULL PARA A ENVASADORA</t>
  </si>
  <si>
    <t>CÁLCULO DOS PARÂMETROS DE WEIBULL PARA OS LÍQUIDOS</t>
  </si>
  <si>
    <t>As células em vermelho podem ser alteradas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</si>
</sst>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"/>
    <numFmt numFmtId="166" formatCode="0.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1"/>
      <color rgb="FF0C0C0C"/>
      <name val="Arial"/>
      <family val="2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3399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3399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C0C0C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8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/>
    <xf numFmtId="10" fontId="0" fillId="0" borderId="1" xfId="1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0" fillId="0" borderId="0" xfId="0" applyFill="1" applyBorder="1" applyAlignment="1"/>
    <xf numFmtId="165" fontId="0" fillId="0" borderId="2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0" fillId="0" borderId="0" xfId="0" applyAlignment="1">
      <alignment vertical="center" wrapText="1"/>
    </xf>
    <xf numFmtId="0" fontId="7" fillId="3" borderId="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10" fontId="9" fillId="0" borderId="8" xfId="0" applyNumberFormat="1" applyFont="1" applyBorder="1" applyAlignment="1">
      <alignment horizontal="center"/>
    </xf>
    <xf numFmtId="10" fontId="9" fillId="0" borderId="7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2" fontId="9" fillId="0" borderId="7" xfId="0" applyNumberFormat="1" applyFont="1" applyBorder="1" applyAlignment="1">
      <alignment horizontal="center"/>
    </xf>
    <xf numFmtId="2" fontId="9" fillId="0" borderId="14" xfId="0" applyNumberFormat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4" xfId="0" applyNumberFormat="1" applyFont="1" applyBorder="1" applyAlignment="1">
      <alignment horizontal="center"/>
    </xf>
    <xf numFmtId="10" fontId="9" fillId="0" borderId="0" xfId="0" applyNumberFormat="1" applyFont="1" applyBorder="1" applyAlignment="1">
      <alignment horizontal="center"/>
    </xf>
    <xf numFmtId="2" fontId="9" fillId="0" borderId="4" xfId="0" applyNumberFormat="1" applyFont="1" applyBorder="1" applyAlignment="1">
      <alignment horizontal="center"/>
    </xf>
    <xf numFmtId="2" fontId="9" fillId="0" borderId="0" xfId="0" applyNumberFormat="1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9" fillId="0" borderId="5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2" fontId="9" fillId="0" borderId="5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/>
    </xf>
    <xf numFmtId="10" fontId="9" fillId="0" borderId="1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Continuous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Continuous" vertical="center"/>
    </xf>
    <xf numFmtId="10" fontId="0" fillId="0" borderId="7" xfId="1" applyNumberFormat="1" applyFon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Fill="1" applyBorder="1" applyAlignment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 applyBorder="1"/>
    <xf numFmtId="0" fontId="4" fillId="0" borderId="0" xfId="0" applyFont="1" applyFill="1" applyBorder="1" applyAlignment="1">
      <alignment horizontal="centerContinuous"/>
    </xf>
    <xf numFmtId="0" fontId="17" fillId="0" borderId="0" xfId="0" applyFont="1" applyFill="1" applyBorder="1"/>
    <xf numFmtId="0" fontId="18" fillId="0" borderId="0" xfId="0" applyFont="1" applyFill="1" applyBorder="1" applyAlignment="1">
      <alignment horizontal="centerContinuous"/>
    </xf>
    <xf numFmtId="0" fontId="17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164" fontId="19" fillId="0" borderId="4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0" xfId="0" applyAlignment="1">
      <alignment horizontal="centerContinuous"/>
    </xf>
    <xf numFmtId="0" fontId="0" fillId="0" borderId="8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19" fillId="0" borderId="7" xfId="0" applyNumberFormat="1" applyFont="1" applyBorder="1" applyAlignment="1">
      <alignment horizontal="center"/>
    </xf>
    <xf numFmtId="164" fontId="19" fillId="0" borderId="5" xfId="0" applyNumberFormat="1" applyFont="1" applyBorder="1" applyAlignment="1">
      <alignment horizontal="center"/>
    </xf>
    <xf numFmtId="165" fontId="0" fillId="0" borderId="4" xfId="0" applyNumberFormat="1" applyFill="1" applyBorder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7" fillId="5" borderId="0" xfId="0" applyFont="1" applyFill="1" applyBorder="1" applyAlignment="1"/>
    <xf numFmtId="2" fontId="0" fillId="0" borderId="0" xfId="0" applyNumberFormat="1" applyAlignment="1">
      <alignment horizontal="center"/>
    </xf>
    <xf numFmtId="10" fontId="0" fillId="0" borderId="0" xfId="1" applyNumberFormat="1" applyFont="1"/>
    <xf numFmtId="0" fontId="12" fillId="4" borderId="6" xfId="0" applyFont="1" applyFill="1" applyBorder="1" applyAlignment="1">
      <alignment horizontal="centerContinuous" vertical="center" wrapText="1"/>
    </xf>
    <xf numFmtId="0" fontId="12" fillId="4" borderId="13" xfId="0" applyFont="1" applyFill="1" applyBorder="1" applyAlignment="1">
      <alignment horizontal="centerContinuous" vertical="center" wrapText="1"/>
    </xf>
    <xf numFmtId="0" fontId="12" fillId="4" borderId="6" xfId="0" applyFont="1" applyFill="1" applyBorder="1" applyAlignment="1">
      <alignment horizontal="centerContinuous" vertical="center"/>
    </xf>
    <xf numFmtId="0" fontId="12" fillId="4" borderId="15" xfId="0" applyFont="1" applyFill="1" applyBorder="1" applyAlignment="1">
      <alignment horizontal="centerContinuous" vertical="center"/>
    </xf>
    <xf numFmtId="0" fontId="12" fillId="4" borderId="13" xfId="0" applyFont="1" applyFill="1" applyBorder="1" applyAlignment="1">
      <alignment horizontal="centerContinuous" vertical="center"/>
    </xf>
    <xf numFmtId="0" fontId="12" fillId="4" borderId="15" xfId="0" applyFont="1" applyFill="1" applyBorder="1" applyAlignment="1">
      <alignment horizontal="centerContinuous" vertical="center" wrapText="1"/>
    </xf>
    <xf numFmtId="0" fontId="9" fillId="0" borderId="6" xfId="0" applyFont="1" applyFill="1" applyBorder="1" applyAlignment="1">
      <alignment horizontal="centerContinuous"/>
    </xf>
    <xf numFmtId="0" fontId="9" fillId="0" borderId="15" xfId="0" applyFont="1" applyFill="1" applyBorder="1" applyAlignment="1">
      <alignment horizontal="centerContinuous"/>
    </xf>
    <xf numFmtId="0" fontId="9" fillId="0" borderId="13" xfId="0" applyFont="1" applyFill="1" applyBorder="1" applyAlignment="1">
      <alignment horizontal="centerContinuous"/>
    </xf>
    <xf numFmtId="0" fontId="10" fillId="0" borderId="0" xfId="0" applyFont="1" applyFill="1" applyBorder="1" applyAlignment="1">
      <alignment horizontal="centerContinuous"/>
    </xf>
    <xf numFmtId="0" fontId="0" fillId="0" borderId="0" xfId="1" applyNumberFormat="1" applyFont="1" applyFill="1" applyBorder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0" fontId="0" fillId="0" borderId="15" xfId="0" applyBorder="1" applyAlignment="1">
      <alignment horizontal="centerContinuous"/>
    </xf>
    <xf numFmtId="0" fontId="0" fillId="0" borderId="13" xfId="0" applyBorder="1" applyAlignment="1">
      <alignment horizontal="centerContinuous"/>
    </xf>
    <xf numFmtId="2" fontId="9" fillId="0" borderId="9" xfId="0" applyNumberFormat="1" applyFont="1" applyFill="1" applyBorder="1" applyAlignment="1">
      <alignment horizontal="center"/>
    </xf>
    <xf numFmtId="2" fontId="9" fillId="0" borderId="10" xfId="0" applyNumberFormat="1" applyFont="1" applyFill="1" applyBorder="1" applyAlignment="1">
      <alignment horizontal="center"/>
    </xf>
    <xf numFmtId="2" fontId="9" fillId="0" borderId="11" xfId="0" applyNumberFormat="1" applyFont="1" applyFill="1" applyBorder="1" applyAlignment="1">
      <alignment horizontal="center"/>
    </xf>
    <xf numFmtId="2" fontId="9" fillId="0" borderId="7" xfId="0" applyNumberFormat="1" applyFont="1" applyFill="1" applyBorder="1" applyAlignment="1">
      <alignment horizontal="center"/>
    </xf>
    <xf numFmtId="2" fontId="9" fillId="0" borderId="4" xfId="0" applyNumberFormat="1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Continuous"/>
    </xf>
    <xf numFmtId="0" fontId="11" fillId="0" borderId="1" xfId="0" applyFont="1" applyBorder="1" applyAlignment="1">
      <alignment horizontal="center"/>
    </xf>
    <xf numFmtId="9" fontId="11" fillId="0" borderId="1" xfId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0" fillId="0" borderId="6" xfId="0" applyFont="1" applyFill="1" applyBorder="1" applyAlignment="1">
      <alignment horizontal="centerContinuous"/>
    </xf>
    <xf numFmtId="0" fontId="10" fillId="0" borderId="15" xfId="0" applyFont="1" applyFill="1" applyBorder="1" applyAlignment="1">
      <alignment horizontal="centerContinuous"/>
    </xf>
    <xf numFmtId="0" fontId="10" fillId="0" borderId="13" xfId="0" applyFont="1" applyFill="1" applyBorder="1" applyAlignment="1">
      <alignment horizontal="centerContinuous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9" fillId="0" borderId="6" xfId="0" applyFont="1" applyBorder="1" applyAlignment="1">
      <alignment horizontal="centerContinuous" vertical="center"/>
    </xf>
    <xf numFmtId="0" fontId="0" fillId="0" borderId="15" xfId="0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2" fontId="0" fillId="0" borderId="0" xfId="0" applyNumberFormat="1"/>
    <xf numFmtId="0" fontId="9" fillId="0" borderId="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0" fillId="6" borderId="1" xfId="0" applyFill="1" applyBorder="1" applyAlignment="1">
      <alignment horizontal="center"/>
    </xf>
    <xf numFmtId="0" fontId="0" fillId="0" borderId="0" xfId="0" applyBorder="1" applyAlignment="1">
      <alignment horizontal="centerContinuous" vertical="center"/>
    </xf>
    <xf numFmtId="0" fontId="0" fillId="0" borderId="0" xfId="0" applyBorder="1" applyAlignment="1">
      <alignment horizontal="centerContinuous"/>
    </xf>
    <xf numFmtId="0" fontId="0" fillId="0" borderId="2" xfId="0" applyBorder="1" applyAlignment="1">
      <alignment horizontal="centerContinuous" vertical="center"/>
    </xf>
    <xf numFmtId="0" fontId="0" fillId="0" borderId="6" xfId="0" applyFill="1" applyBorder="1" applyAlignment="1">
      <alignment horizontal="centerContinuous" vertical="center"/>
    </xf>
    <xf numFmtId="0" fontId="0" fillId="0" borderId="6" xfId="0" applyBorder="1" applyAlignment="1">
      <alignment horizontal="centerContinuous" vertical="center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9" fillId="0" borderId="6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 vertical="center" wrapText="1"/>
    </xf>
    <xf numFmtId="10" fontId="17" fillId="0" borderId="1" xfId="1" applyNumberFormat="1" applyFont="1" applyBorder="1" applyAlignment="1">
      <alignment horizontal="center"/>
    </xf>
    <xf numFmtId="10" fontId="17" fillId="0" borderId="1" xfId="1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7" fillId="0" borderId="1" xfId="0" applyFont="1" applyFill="1" applyBorder="1" applyAlignment="1">
      <alignment horizontal="center"/>
    </xf>
    <xf numFmtId="9" fontId="0" fillId="2" borderId="0" xfId="1" applyFont="1" applyFill="1" applyAlignment="1">
      <alignment horizontal="left"/>
    </xf>
    <xf numFmtId="0" fontId="20" fillId="0" borderId="1" xfId="0" applyFont="1" applyFill="1" applyBorder="1" applyAlignment="1">
      <alignment horizontal="center"/>
    </xf>
    <xf numFmtId="10" fontId="20" fillId="0" borderId="1" xfId="1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Continuous" vertical="center"/>
    </xf>
    <xf numFmtId="0" fontId="0" fillId="0" borderId="1" xfId="0" applyFill="1" applyBorder="1" applyAlignment="1">
      <alignment horizontal="centerContinuous"/>
    </xf>
    <xf numFmtId="0" fontId="17" fillId="0" borderId="1" xfId="1" applyNumberFormat="1" applyFont="1" applyBorder="1" applyAlignment="1">
      <alignment horizontal="center"/>
    </xf>
    <xf numFmtId="0" fontId="0" fillId="0" borderId="6" xfId="0" applyBorder="1" applyAlignment="1"/>
    <xf numFmtId="0" fontId="0" fillId="0" borderId="15" xfId="0" applyBorder="1" applyAlignment="1"/>
    <xf numFmtId="0" fontId="0" fillId="0" borderId="15" xfId="0" applyBorder="1" applyAlignment="1">
      <alignment horizontal="right"/>
    </xf>
    <xf numFmtId="2" fontId="0" fillId="0" borderId="15" xfId="0" applyNumberFormat="1" applyBorder="1" applyAlignment="1">
      <alignment horizontal="left"/>
    </xf>
    <xf numFmtId="0" fontId="0" fillId="0" borderId="13" xfId="0" applyBorder="1"/>
    <xf numFmtId="0" fontId="0" fillId="0" borderId="11" xfId="0" applyBorder="1" applyAlignment="1">
      <alignment horizontal="centerContinuous"/>
    </xf>
    <xf numFmtId="0" fontId="0" fillId="0" borderId="5" xfId="0" applyBorder="1" applyAlignment="1">
      <alignment horizontal="centerContinuous" vertical="center"/>
    </xf>
    <xf numFmtId="0" fontId="0" fillId="0" borderId="15" xfId="0" applyBorder="1"/>
    <xf numFmtId="0" fontId="0" fillId="8" borderId="1" xfId="0" applyFill="1" applyBorder="1" applyAlignment="1">
      <alignment horizontal="center"/>
    </xf>
    <xf numFmtId="0" fontId="22" fillId="9" borderId="0" xfId="0" applyFont="1" applyFill="1" applyAlignment="1">
      <alignment horizontal="centerContinuous"/>
    </xf>
    <xf numFmtId="0" fontId="21" fillId="9" borderId="0" xfId="0" applyFont="1" applyFill="1" applyAlignment="1">
      <alignment horizontal="centerContinuous"/>
    </xf>
    <xf numFmtId="10" fontId="0" fillId="0" borderId="0" xfId="0" applyNumberFormat="1"/>
    <xf numFmtId="0" fontId="0" fillId="0" borderId="0" xfId="0" applyFill="1" applyBorder="1" applyAlignment="1">
      <alignment horizontal="center"/>
    </xf>
    <xf numFmtId="0" fontId="2" fillId="0" borderId="2" xfId="0" applyFont="1" applyBorder="1" applyAlignment="1">
      <alignment horizontal="centerContinuous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Continuous" vertical="center"/>
    </xf>
    <xf numFmtId="0" fontId="0" fillId="2" borderId="1" xfId="0" applyFill="1" applyBorder="1" applyAlignment="1">
      <alignment horizontal="centerContinuous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1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Continuous" vertical="center"/>
    </xf>
    <xf numFmtId="0" fontId="7" fillId="4" borderId="1" xfId="0" applyFont="1" applyFill="1" applyBorder="1" applyAlignment="1">
      <alignment horizontal="centerContinuous"/>
    </xf>
    <xf numFmtId="0" fontId="7" fillId="0" borderId="0" xfId="0" applyFont="1"/>
    <xf numFmtId="0" fontId="23" fillId="4" borderId="1" xfId="0" applyFont="1" applyFill="1" applyBorder="1" applyAlignment="1">
      <alignment horizontal="centerContinuous"/>
    </xf>
    <xf numFmtId="0" fontId="14" fillId="0" borderId="8" xfId="0" applyNumberFormat="1" applyFont="1" applyBorder="1" applyAlignment="1">
      <alignment horizontal="center"/>
    </xf>
    <xf numFmtId="0" fontId="14" fillId="0" borderId="7" xfId="0" applyNumberFormat="1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2" xfId="0" applyNumberFormat="1" applyFont="1" applyBorder="1" applyAlignment="1">
      <alignment horizontal="center"/>
    </xf>
    <xf numFmtId="0" fontId="14" fillId="0" borderId="4" xfId="0" applyNumberFormat="1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4" xfId="0" applyFont="1" applyBorder="1"/>
    <xf numFmtId="0" fontId="14" fillId="0" borderId="4" xfId="0" applyFont="1" applyFill="1" applyBorder="1" applyAlignment="1">
      <alignment horizontal="center"/>
    </xf>
    <xf numFmtId="0" fontId="14" fillId="0" borderId="3" xfId="0" applyNumberFormat="1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5" xfId="0" applyFont="1" applyBorder="1"/>
    <xf numFmtId="0" fontId="14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0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 applyAlignment="1">
      <alignment horizontal="center" vertical="center" wrapText="1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Continuous" vertical="center"/>
    </xf>
    <xf numFmtId="0" fontId="25" fillId="0" borderId="0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 wrapText="1"/>
    </xf>
    <xf numFmtId="0" fontId="9" fillId="0" borderId="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3" fillId="7" borderId="0" xfId="0" applyFont="1" applyFill="1" applyBorder="1" applyAlignment="1">
      <alignment horizontal="center" vertical="center"/>
    </xf>
    <xf numFmtId="0" fontId="20" fillId="10" borderId="0" xfId="0" applyFont="1" applyFill="1" applyAlignment="1">
      <alignment horizontal="centerContinuous"/>
    </xf>
    <xf numFmtId="0" fontId="27" fillId="10" borderId="0" xfId="0" applyFont="1" applyFill="1" applyAlignment="1">
      <alignment horizontal="centerContinuous"/>
    </xf>
  </cellXfs>
  <cellStyles count="2">
    <cellStyle name="Normal" xfId="0" builtinId="0"/>
    <cellStyle name="Porcentagem" xfId="1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FF00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Confiabilidade das Máquinas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'Resumo Confiabilidade'!$C$10</c:f>
              <c:strCache>
                <c:ptCount val="1"/>
                <c:pt idx="0">
                  <c:v>Prensa IV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'Resumo Confiabilidade'!$B$11:$B$50</c:f>
              <c:numCache>
                <c:formatCode>General</c:formatCode>
                <c:ptCount val="40"/>
                <c:pt idx="0">
                  <c:v>60</c:v>
                </c:pt>
                <c:pt idx="1">
                  <c:v>120</c:v>
                </c:pt>
                <c:pt idx="2">
                  <c:v>180</c:v>
                </c:pt>
                <c:pt idx="3">
                  <c:v>240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480</c:v>
                </c:pt>
                <c:pt idx="8">
                  <c:v>540</c:v>
                </c:pt>
                <c:pt idx="9">
                  <c:v>600</c:v>
                </c:pt>
                <c:pt idx="10">
                  <c:v>660</c:v>
                </c:pt>
                <c:pt idx="11">
                  <c:v>720</c:v>
                </c:pt>
                <c:pt idx="12">
                  <c:v>780</c:v>
                </c:pt>
                <c:pt idx="13">
                  <c:v>840</c:v>
                </c:pt>
                <c:pt idx="14">
                  <c:v>900</c:v>
                </c:pt>
                <c:pt idx="15">
                  <c:v>960</c:v>
                </c:pt>
                <c:pt idx="16">
                  <c:v>1020</c:v>
                </c:pt>
                <c:pt idx="17">
                  <c:v>1080</c:v>
                </c:pt>
                <c:pt idx="18">
                  <c:v>1140</c:v>
                </c:pt>
                <c:pt idx="19">
                  <c:v>1200</c:v>
                </c:pt>
                <c:pt idx="20">
                  <c:v>1260</c:v>
                </c:pt>
                <c:pt idx="21">
                  <c:v>1320</c:v>
                </c:pt>
                <c:pt idx="22">
                  <c:v>1380</c:v>
                </c:pt>
                <c:pt idx="23">
                  <c:v>1440</c:v>
                </c:pt>
                <c:pt idx="24">
                  <c:v>1500</c:v>
                </c:pt>
                <c:pt idx="25">
                  <c:v>1560</c:v>
                </c:pt>
                <c:pt idx="26">
                  <c:v>1620</c:v>
                </c:pt>
                <c:pt idx="27">
                  <c:v>1680</c:v>
                </c:pt>
                <c:pt idx="28">
                  <c:v>1740</c:v>
                </c:pt>
                <c:pt idx="29">
                  <c:v>1800</c:v>
                </c:pt>
                <c:pt idx="30">
                  <c:v>1860</c:v>
                </c:pt>
                <c:pt idx="31">
                  <c:v>1920</c:v>
                </c:pt>
                <c:pt idx="32">
                  <c:v>1980</c:v>
                </c:pt>
                <c:pt idx="33">
                  <c:v>2040</c:v>
                </c:pt>
                <c:pt idx="34">
                  <c:v>2100</c:v>
                </c:pt>
                <c:pt idx="35">
                  <c:v>2160</c:v>
                </c:pt>
                <c:pt idx="36">
                  <c:v>2220</c:v>
                </c:pt>
                <c:pt idx="37">
                  <c:v>2280</c:v>
                </c:pt>
                <c:pt idx="38">
                  <c:v>2340</c:v>
                </c:pt>
                <c:pt idx="39">
                  <c:v>2400</c:v>
                </c:pt>
              </c:numCache>
            </c:numRef>
          </c:xVal>
          <c:yVal>
            <c:numRef>
              <c:f>'Resumo Confiabilidade'!$C$11:$C$50</c:f>
              <c:numCache>
                <c:formatCode>0.00%</c:formatCode>
                <c:ptCount val="40"/>
                <c:pt idx="0">
                  <c:v>6.4496278182099367E-2</c:v>
                </c:pt>
                <c:pt idx="1">
                  <c:v>0.14015122872528213</c:v>
                </c:pt>
                <c:pt idx="2">
                  <c:v>0.21619111355089879</c:v>
                </c:pt>
                <c:pt idx="3">
                  <c:v>0.28964572544987222</c:v>
                </c:pt>
                <c:pt idx="4">
                  <c:v>0.35914499844103526</c:v>
                </c:pt>
                <c:pt idx="5">
                  <c:v>0.42402904889341253</c:v>
                </c:pt>
                <c:pt idx="6">
                  <c:v>0.48402573495332507</c:v>
                </c:pt>
                <c:pt idx="7">
                  <c:v>0.53909517901958337</c:v>
                </c:pt>
                <c:pt idx="8">
                  <c:v>0.58934226010231017</c:v>
                </c:pt>
                <c:pt idx="9">
                  <c:v>0.63496255753859909</c:v>
                </c:pt>
                <c:pt idx="10">
                  <c:v>0.67620697437958466</c:v>
                </c:pt>
                <c:pt idx="11">
                  <c:v>0.71335775831919079</c:v>
                </c:pt>
                <c:pt idx="12">
                  <c:v>0.7467119319783917</c:v>
                </c:pt>
                <c:pt idx="13">
                  <c:v>0.77656976360552088</c:v>
                </c:pt>
                <c:pt idx="14">
                  <c:v>0.80322677855709612</c:v>
                </c:pt>
                <c:pt idx="15">
                  <c:v>0.82696831348687272</c:v>
                </c:pt>
                <c:pt idx="16">
                  <c:v>0.84806592246604562</c:v>
                </c:pt>
                <c:pt idx="17">
                  <c:v>0.86677514226024044</c:v>
                </c:pt>
                <c:pt idx="18">
                  <c:v>0.88333425707430724</c:v>
                </c:pt>
                <c:pt idx="19">
                  <c:v>0.89796379572704121</c:v>
                </c:pt>
                <c:pt idx="20">
                  <c:v>0.91086656061067095</c:v>
                </c:pt>
                <c:pt idx="21">
                  <c:v>0.92222803649324181</c:v>
                </c:pt>
                <c:pt idx="22">
                  <c:v>0.93221706362093193</c:v>
                </c:pt>
                <c:pt idx="23">
                  <c:v>0.94098668717768841</c:v>
                </c:pt>
                <c:pt idx="24">
                  <c:v>0.94867511631834223</c:v>
                </c:pt>
                <c:pt idx="25">
                  <c:v>0.95540674234000222</c:v>
                </c:pt>
                <c:pt idx="26">
                  <c:v>0.96129317825428418</c:v>
                </c:pt>
                <c:pt idx="27">
                  <c:v>0.96643429191292873</c:v>
                </c:pt>
                <c:pt idx="28">
                  <c:v>0.97091921254744573</c:v>
                </c:pt>
                <c:pt idx="29">
                  <c:v>0.97482729658244216</c:v>
                </c:pt>
                <c:pt idx="30">
                  <c:v>0.97822904323482496</c:v>
                </c:pt>
                <c:pt idx="31">
                  <c:v>0.98118695399870515</c:v>
                </c:pt>
                <c:pt idx="32">
                  <c:v>0.98375633285939701</c:v>
                </c:pt>
                <c:pt idx="33">
                  <c:v>0.9859860261540847</c:v>
                </c:pt>
                <c:pt idx="34">
                  <c:v>0.98791910254047921</c:v>
                </c:pt>
                <c:pt idx="35">
                  <c:v>0.98959347465922631</c:v>
                </c:pt>
                <c:pt idx="36">
                  <c:v>0.99104246487003078</c:v>
                </c:pt>
                <c:pt idx="37">
                  <c:v>0.99229531797702053</c:v>
                </c:pt>
                <c:pt idx="38">
                  <c:v>0.99337766419329787</c:v>
                </c:pt>
                <c:pt idx="39">
                  <c:v>0.99431193577414823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0-409A-A419-BEF63DD46D13}"/>
            </c:ext>
          </c:extLst>
        </c:ser>
        <c:ser>
          <c:idx val="1"/>
          <c:order val="1"/>
          <c:tx>
            <c:strRef>
              <c:f>'Resumo Confiabilidade'!$D$10</c:f>
              <c:strCache>
                <c:ptCount val="1"/>
                <c:pt idx="0">
                  <c:v>Misturador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'Resumo Confiabilidade'!$B$11:$B$50</c:f>
              <c:numCache>
                <c:formatCode>General</c:formatCode>
                <c:ptCount val="40"/>
                <c:pt idx="0">
                  <c:v>60</c:v>
                </c:pt>
                <c:pt idx="1">
                  <c:v>120</c:v>
                </c:pt>
                <c:pt idx="2">
                  <c:v>180</c:v>
                </c:pt>
                <c:pt idx="3">
                  <c:v>240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480</c:v>
                </c:pt>
                <c:pt idx="8">
                  <c:v>540</c:v>
                </c:pt>
                <c:pt idx="9">
                  <c:v>600</c:v>
                </c:pt>
                <c:pt idx="10">
                  <c:v>660</c:v>
                </c:pt>
                <c:pt idx="11">
                  <c:v>720</c:v>
                </c:pt>
                <c:pt idx="12">
                  <c:v>780</c:v>
                </c:pt>
                <c:pt idx="13">
                  <c:v>840</c:v>
                </c:pt>
                <c:pt idx="14">
                  <c:v>900</c:v>
                </c:pt>
                <c:pt idx="15">
                  <c:v>960</c:v>
                </c:pt>
                <c:pt idx="16">
                  <c:v>1020</c:v>
                </c:pt>
                <c:pt idx="17">
                  <c:v>1080</c:v>
                </c:pt>
                <c:pt idx="18">
                  <c:v>1140</c:v>
                </c:pt>
                <c:pt idx="19">
                  <c:v>1200</c:v>
                </c:pt>
                <c:pt idx="20">
                  <c:v>1260</c:v>
                </c:pt>
                <c:pt idx="21">
                  <c:v>1320</c:v>
                </c:pt>
                <c:pt idx="22">
                  <c:v>1380</c:v>
                </c:pt>
                <c:pt idx="23">
                  <c:v>1440</c:v>
                </c:pt>
                <c:pt idx="24">
                  <c:v>1500</c:v>
                </c:pt>
                <c:pt idx="25">
                  <c:v>1560</c:v>
                </c:pt>
                <c:pt idx="26">
                  <c:v>1620</c:v>
                </c:pt>
                <c:pt idx="27">
                  <c:v>1680</c:v>
                </c:pt>
                <c:pt idx="28">
                  <c:v>1740</c:v>
                </c:pt>
                <c:pt idx="29">
                  <c:v>1800</c:v>
                </c:pt>
                <c:pt idx="30">
                  <c:v>1860</c:v>
                </c:pt>
                <c:pt idx="31">
                  <c:v>1920</c:v>
                </c:pt>
                <c:pt idx="32">
                  <c:v>1980</c:v>
                </c:pt>
                <c:pt idx="33">
                  <c:v>2040</c:v>
                </c:pt>
                <c:pt idx="34">
                  <c:v>2100</c:v>
                </c:pt>
                <c:pt idx="35">
                  <c:v>2160</c:v>
                </c:pt>
                <c:pt idx="36">
                  <c:v>2220</c:v>
                </c:pt>
                <c:pt idx="37">
                  <c:v>2280</c:v>
                </c:pt>
                <c:pt idx="38">
                  <c:v>2340</c:v>
                </c:pt>
                <c:pt idx="39">
                  <c:v>2400</c:v>
                </c:pt>
              </c:numCache>
            </c:numRef>
          </c:xVal>
          <c:yVal>
            <c:numRef>
              <c:f>'Resumo Confiabilidade'!$D$11:$D$50</c:f>
              <c:numCache>
                <c:formatCode>0.00%</c:formatCode>
                <c:ptCount val="40"/>
                <c:pt idx="0">
                  <c:v>7.1566792870505658E-2</c:v>
                </c:pt>
                <c:pt idx="1">
                  <c:v>0.14102215993439199</c:v>
                </c:pt>
                <c:pt idx="2">
                  <c:v>0.20637567559136602</c:v>
                </c:pt>
                <c:pt idx="3">
                  <c:v>0.26742246595200125</c:v>
                </c:pt>
                <c:pt idx="4">
                  <c:v>0.32423454960292136</c:v>
                </c:pt>
                <c:pt idx="5">
                  <c:v>0.37698216924204475</c:v>
                </c:pt>
                <c:pt idx="6">
                  <c:v>0.42587574014634932</c:v>
                </c:pt>
                <c:pt idx="7">
                  <c:v>0.4711408696608031</c:v>
                </c:pt>
                <c:pt idx="8">
                  <c:v>0.51300594907423747</c:v>
                </c:pt>
                <c:pt idx="9">
                  <c:v>0.55169549343906743</c:v>
                </c:pt>
                <c:pt idx="10">
                  <c:v>0.58742644268655353</c:v>
                </c:pt>
                <c:pt idx="11">
                  <c:v>0.62040611867572837</c:v>
                </c:pt>
                <c:pt idx="12">
                  <c:v>0.65083116280504405</c:v>
                </c:pt>
                <c:pt idx="13">
                  <c:v>0.67888707753489785</c:v>
                </c:pt>
                <c:pt idx="14">
                  <c:v>0.70474814920906281</c:v>
                </c:pt>
                <c:pt idx="15">
                  <c:v>0.72857761448566349</c:v>
                </c:pt>
                <c:pt idx="16">
                  <c:v>0.75052798212284555</c:v>
                </c:pt>
                <c:pt idx="17">
                  <c:v>0.77074145196247834</c:v>
                </c:pt>
                <c:pt idx="18">
                  <c:v>0.78935039197938228</c:v>
                </c:pt>
                <c:pt idx="19">
                  <c:v>0.80647784667094458</c:v>
                </c:pt>
                <c:pt idx="20">
                  <c:v>0.82223805836913155</c:v>
                </c:pt>
                <c:pt idx="21">
                  <c:v>0.83673698874182956</c:v>
                </c:pt>
                <c:pt idx="22">
                  <c:v>0.85007283171170323</c:v>
                </c:pt>
                <c:pt idx="23">
                  <c:v>0.86233651182156834</c:v>
                </c:pt>
                <c:pt idx="24">
                  <c:v>0.87361216407827924</c:v>
                </c:pt>
                <c:pt idx="25">
                  <c:v>0.88397759275161736</c:v>
                </c:pt>
                <c:pt idx="26">
                  <c:v>0.89350470765188061</c:v>
                </c:pt>
                <c:pt idx="27">
                  <c:v>0.90225993717068986</c:v>
                </c:pt>
                <c:pt idx="28">
                  <c:v>0.91030461792143713</c:v>
                </c:pt>
                <c:pt idx="29">
                  <c:v>0.91769536121387962</c:v>
                </c:pt>
                <c:pt idx="30">
                  <c:v>0.92448439688128503</c:v>
                </c:pt>
                <c:pt idx="31">
                  <c:v>0.93071989517717713</c:v>
                </c:pt>
                <c:pt idx="32">
                  <c:v>0.9364462675934575</c:v>
                </c:pt>
                <c:pt idx="33">
                  <c:v>0.94170444753835769</c:v>
                </c:pt>
                <c:pt idx="34">
                  <c:v>0.94653215186324169</c:v>
                </c:pt>
                <c:pt idx="35">
                  <c:v>0.95096412425075127</c:v>
                </c:pt>
                <c:pt idx="36">
                  <c:v>0.95503236148003012</c:v>
                </c:pt>
                <c:pt idx="37">
                  <c:v>0.95876632357303471</c:v>
                </c:pt>
                <c:pt idx="38">
                  <c:v>0.96219312880326791</c:v>
                </c:pt>
                <c:pt idx="39">
                  <c:v>0.96533773451776161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E0-409A-A419-BEF63DD46D13}"/>
            </c:ext>
          </c:extLst>
        </c:ser>
        <c:ser>
          <c:idx val="2"/>
          <c:order val="2"/>
          <c:tx>
            <c:strRef>
              <c:f>'Resumo Confiabilidade'!$E$10</c:f>
              <c:strCache>
                <c:ptCount val="1"/>
                <c:pt idx="0">
                  <c:v>PRENSA I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'Resumo Confiabilidade'!$B$11:$B$50</c:f>
              <c:numCache>
                <c:formatCode>General</c:formatCode>
                <c:ptCount val="40"/>
                <c:pt idx="0">
                  <c:v>60</c:v>
                </c:pt>
                <c:pt idx="1">
                  <c:v>120</c:v>
                </c:pt>
                <c:pt idx="2">
                  <c:v>180</c:v>
                </c:pt>
                <c:pt idx="3">
                  <c:v>240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480</c:v>
                </c:pt>
                <c:pt idx="8">
                  <c:v>540</c:v>
                </c:pt>
                <c:pt idx="9">
                  <c:v>600</c:v>
                </c:pt>
                <c:pt idx="10">
                  <c:v>660</c:v>
                </c:pt>
                <c:pt idx="11">
                  <c:v>720</c:v>
                </c:pt>
                <c:pt idx="12">
                  <c:v>780</c:v>
                </c:pt>
                <c:pt idx="13">
                  <c:v>840</c:v>
                </c:pt>
                <c:pt idx="14">
                  <c:v>900</c:v>
                </c:pt>
                <c:pt idx="15">
                  <c:v>960</c:v>
                </c:pt>
                <c:pt idx="16">
                  <c:v>1020</c:v>
                </c:pt>
                <c:pt idx="17">
                  <c:v>1080</c:v>
                </c:pt>
                <c:pt idx="18">
                  <c:v>1140</c:v>
                </c:pt>
                <c:pt idx="19">
                  <c:v>1200</c:v>
                </c:pt>
                <c:pt idx="20">
                  <c:v>1260</c:v>
                </c:pt>
                <c:pt idx="21">
                  <c:v>1320</c:v>
                </c:pt>
                <c:pt idx="22">
                  <c:v>1380</c:v>
                </c:pt>
                <c:pt idx="23">
                  <c:v>1440</c:v>
                </c:pt>
                <c:pt idx="24">
                  <c:v>1500</c:v>
                </c:pt>
                <c:pt idx="25">
                  <c:v>1560</c:v>
                </c:pt>
                <c:pt idx="26">
                  <c:v>1620</c:v>
                </c:pt>
                <c:pt idx="27">
                  <c:v>1680</c:v>
                </c:pt>
                <c:pt idx="28">
                  <c:v>1740</c:v>
                </c:pt>
                <c:pt idx="29">
                  <c:v>1800</c:v>
                </c:pt>
                <c:pt idx="30">
                  <c:v>1860</c:v>
                </c:pt>
                <c:pt idx="31">
                  <c:v>1920</c:v>
                </c:pt>
                <c:pt idx="32">
                  <c:v>1980</c:v>
                </c:pt>
                <c:pt idx="33">
                  <c:v>2040</c:v>
                </c:pt>
                <c:pt idx="34">
                  <c:v>2100</c:v>
                </c:pt>
                <c:pt idx="35">
                  <c:v>2160</c:v>
                </c:pt>
                <c:pt idx="36">
                  <c:v>2220</c:v>
                </c:pt>
                <c:pt idx="37">
                  <c:v>2280</c:v>
                </c:pt>
                <c:pt idx="38">
                  <c:v>2340</c:v>
                </c:pt>
                <c:pt idx="39">
                  <c:v>2400</c:v>
                </c:pt>
              </c:numCache>
            </c:numRef>
          </c:xVal>
          <c:yVal>
            <c:numRef>
              <c:f>'Resumo Confiabilidade'!$E$11:$E$50</c:f>
              <c:numCache>
                <c:formatCode>0.00%</c:formatCode>
                <c:ptCount val="40"/>
                <c:pt idx="0">
                  <c:v>8.862963423029499E-2</c:v>
                </c:pt>
                <c:pt idx="1">
                  <c:v>0.14339846235668013</c:v>
                </c:pt>
                <c:pt idx="2">
                  <c:v>0.18841835571268467</c:v>
                </c:pt>
                <c:pt idx="3">
                  <c:v>0.22751856761508465</c:v>
                </c:pt>
                <c:pt idx="4">
                  <c:v>0.26240215722547333</c:v>
                </c:pt>
                <c:pt idx="5">
                  <c:v>0.29403434432308401</c:v>
                </c:pt>
                <c:pt idx="6">
                  <c:v>0.32303654404552229</c:v>
                </c:pt>
                <c:pt idx="7">
                  <c:v>0.34984212381395624</c:v>
                </c:pt>
                <c:pt idx="8">
                  <c:v>0.37477041919842968</c:v>
                </c:pt>
                <c:pt idx="9">
                  <c:v>0.39806641254405406</c:v>
                </c:pt>
                <c:pt idx="10">
                  <c:v>0.41992391389889072</c:v>
                </c:pt>
                <c:pt idx="11">
                  <c:v>0.44050000970792219</c:v>
                </c:pt>
                <c:pt idx="12">
                  <c:v>0.45992453676448208</c:v>
                </c:pt>
                <c:pt idx="13">
                  <c:v>0.47830655287365981</c:v>
                </c:pt>
                <c:pt idx="14">
                  <c:v>0.49573890719160041</c:v>
                </c:pt>
                <c:pt idx="15">
                  <c:v>0.51230156044888209</c:v>
                </c:pt>
                <c:pt idx="16">
                  <c:v>0.52806405540629653</c:v>
                </c:pt>
                <c:pt idx="17">
                  <c:v>0.54308739328612188</c:v>
                </c:pt>
                <c:pt idx="18">
                  <c:v>0.55742548478479814</c:v>
                </c:pt>
                <c:pt idx="19">
                  <c:v>0.57112628990972747</c:v>
                </c:pt>
                <c:pt idx="20">
                  <c:v>0.58423272592646081</c:v>
                </c:pt>
                <c:pt idx="21">
                  <c:v>0.59678339962043947</c:v>
                </c:pt>
                <c:pt idx="22">
                  <c:v>0.60881320447363185</c:v>
                </c:pt>
                <c:pt idx="23">
                  <c:v>0.62035381258446298</c:v>
                </c:pt>
                <c:pt idx="24">
                  <c:v>0.63143408358179065</c:v>
                </c:pt>
                <c:pt idx="25">
                  <c:v>0.64208040736170047</c:v>
                </c:pt>
                <c:pt idx="26">
                  <c:v>0.6523169935360057</c:v>
                </c:pt>
                <c:pt idx="27">
                  <c:v>0.6621661175778415</c:v>
                </c:pt>
                <c:pt idx="28">
                  <c:v>0.6716483314822872</c:v>
                </c:pt>
                <c:pt idx="29">
                  <c:v>0.68078264512265241</c:v>
                </c:pt>
                <c:pt idx="30">
                  <c:v>0.68958668323268757</c:v>
                </c:pt>
                <c:pt idx="31">
                  <c:v>0.69807682198037724</c:v>
                </c:pt>
                <c:pt idx="32">
                  <c:v>0.70626830834783694</c:v>
                </c:pt>
                <c:pt idx="33">
                  <c:v>0.71417536494177947</c:v>
                </c:pt>
                <c:pt idx="34">
                  <c:v>0.72181128239173209</c:v>
                </c:pt>
                <c:pt idx="35">
                  <c:v>0.72918850112028655</c:v>
                </c:pt>
                <c:pt idx="36">
                  <c:v>0.7363186839699617</c:v>
                </c:pt>
                <c:pt idx="37">
                  <c:v>0.74321278092876708</c:v>
                </c:pt>
                <c:pt idx="38">
                  <c:v>0.74988108699911438</c:v>
                </c:pt>
                <c:pt idx="39">
                  <c:v>0.75633329409300487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E0-409A-A419-BEF63DD46D13}"/>
            </c:ext>
          </c:extLst>
        </c:ser>
        <c:ser>
          <c:idx val="3"/>
          <c:order val="3"/>
          <c:tx>
            <c:strRef>
              <c:f>'Resumo Confiabilidade'!$F$10</c:f>
              <c:strCache>
                <c:ptCount val="1"/>
                <c:pt idx="0">
                  <c:v>EMBALADORA DE PASTILHAS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'Resumo Confiabilidade'!$B$11:$B$50</c:f>
              <c:numCache>
                <c:formatCode>General</c:formatCode>
                <c:ptCount val="40"/>
                <c:pt idx="0">
                  <c:v>60</c:v>
                </c:pt>
                <c:pt idx="1">
                  <c:v>120</c:v>
                </c:pt>
                <c:pt idx="2">
                  <c:v>180</c:v>
                </c:pt>
                <c:pt idx="3">
                  <c:v>240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480</c:v>
                </c:pt>
                <c:pt idx="8">
                  <c:v>540</c:v>
                </c:pt>
                <c:pt idx="9">
                  <c:v>600</c:v>
                </c:pt>
                <c:pt idx="10">
                  <c:v>660</c:v>
                </c:pt>
                <c:pt idx="11">
                  <c:v>720</c:v>
                </c:pt>
                <c:pt idx="12">
                  <c:v>780</c:v>
                </c:pt>
                <c:pt idx="13">
                  <c:v>840</c:v>
                </c:pt>
                <c:pt idx="14">
                  <c:v>900</c:v>
                </c:pt>
                <c:pt idx="15">
                  <c:v>960</c:v>
                </c:pt>
                <c:pt idx="16">
                  <c:v>1020</c:v>
                </c:pt>
                <c:pt idx="17">
                  <c:v>1080</c:v>
                </c:pt>
                <c:pt idx="18">
                  <c:v>1140</c:v>
                </c:pt>
                <c:pt idx="19">
                  <c:v>1200</c:v>
                </c:pt>
                <c:pt idx="20">
                  <c:v>1260</c:v>
                </c:pt>
                <c:pt idx="21">
                  <c:v>1320</c:v>
                </c:pt>
                <c:pt idx="22">
                  <c:v>1380</c:v>
                </c:pt>
                <c:pt idx="23">
                  <c:v>1440</c:v>
                </c:pt>
                <c:pt idx="24">
                  <c:v>1500</c:v>
                </c:pt>
                <c:pt idx="25">
                  <c:v>1560</c:v>
                </c:pt>
                <c:pt idx="26">
                  <c:v>1620</c:v>
                </c:pt>
                <c:pt idx="27">
                  <c:v>1680</c:v>
                </c:pt>
                <c:pt idx="28">
                  <c:v>1740</c:v>
                </c:pt>
                <c:pt idx="29">
                  <c:v>1800</c:v>
                </c:pt>
                <c:pt idx="30">
                  <c:v>1860</c:v>
                </c:pt>
                <c:pt idx="31">
                  <c:v>1920</c:v>
                </c:pt>
                <c:pt idx="32">
                  <c:v>1980</c:v>
                </c:pt>
                <c:pt idx="33">
                  <c:v>2040</c:v>
                </c:pt>
                <c:pt idx="34">
                  <c:v>2100</c:v>
                </c:pt>
                <c:pt idx="35">
                  <c:v>2160</c:v>
                </c:pt>
                <c:pt idx="36">
                  <c:v>2220</c:v>
                </c:pt>
                <c:pt idx="37">
                  <c:v>2280</c:v>
                </c:pt>
                <c:pt idx="38">
                  <c:v>2340</c:v>
                </c:pt>
                <c:pt idx="39">
                  <c:v>2400</c:v>
                </c:pt>
              </c:numCache>
            </c:numRef>
          </c:xVal>
          <c:yVal>
            <c:numRef>
              <c:f>'Resumo Confiabilidade'!$F$11:$F$50</c:f>
              <c:numCache>
                <c:formatCode>0.00%</c:formatCode>
                <c:ptCount val="40"/>
                <c:pt idx="0">
                  <c:v>9.4284991487999195E-2</c:v>
                </c:pt>
                <c:pt idx="1">
                  <c:v>0.14965798778628686</c:v>
                </c:pt>
                <c:pt idx="2">
                  <c:v>0.19450122461839475</c:v>
                </c:pt>
                <c:pt idx="3">
                  <c:v>0.23309381896746473</c:v>
                </c:pt>
                <c:pt idx="4">
                  <c:v>0.26730546116984066</c:v>
                </c:pt>
                <c:pt idx="5">
                  <c:v>0.29818148617917634</c:v>
                </c:pt>
                <c:pt idx="6">
                  <c:v>0.32638722608111209</c:v>
                </c:pt>
                <c:pt idx="7">
                  <c:v>0.35238204976674053</c:v>
                </c:pt>
                <c:pt idx="8">
                  <c:v>0.37650143355908694</c:v>
                </c:pt>
                <c:pt idx="9">
                  <c:v>0.39900066121956007</c:v>
                </c:pt>
                <c:pt idx="10">
                  <c:v>0.42008019817659292</c:v>
                </c:pt>
                <c:pt idx="11">
                  <c:v>0.43990141800391519</c:v>
                </c:pt>
                <c:pt idx="12">
                  <c:v>0.45859685972946596</c:v>
                </c:pt>
                <c:pt idx="13">
                  <c:v>0.47627719857070261</c:v>
                </c:pt>
                <c:pt idx="14">
                  <c:v>0.49303614611788404</c:v>
                </c:pt>
                <c:pt idx="15">
                  <c:v>0.50895399402723474</c:v>
                </c:pt>
                <c:pt idx="16">
                  <c:v>0.52410023926540639</c:v>
                </c:pt>
                <c:pt idx="17">
                  <c:v>0.53853556974223737</c:v>
                </c:pt>
                <c:pt idx="18">
                  <c:v>0.55231339354344566</c:v>
                </c:pt>
                <c:pt idx="19">
                  <c:v>0.5654810354998735</c:v>
                </c:pt>
                <c:pt idx="20">
                  <c:v>0.57808068669960977</c:v>
                </c:pt>
                <c:pt idx="21">
                  <c:v>0.59015016744331106</c:v>
                </c:pt>
                <c:pt idx="22">
                  <c:v>0.60172354721784205</c:v>
                </c:pt>
                <c:pt idx="23">
                  <c:v>0.61283165361045966</c:v>
                </c:pt>
                <c:pt idx="24">
                  <c:v>0.62350249390972501</c:v>
                </c:pt>
                <c:pt idx="25">
                  <c:v>0.63376160730397635</c:v>
                </c:pt>
                <c:pt idx="26">
                  <c:v>0.64363236135841406</c:v>
                </c:pt>
                <c:pt idx="27">
                  <c:v>0.65313620334224542</c:v>
                </c:pt>
                <c:pt idx="28">
                  <c:v>0.6622928746614849</c:v>
                </c:pt>
                <c:pt idx="29">
                  <c:v>0.67112059490768394</c:v>
                </c:pt>
                <c:pt idx="30">
                  <c:v>0.67963622070299246</c:v>
                </c:pt>
                <c:pt idx="31">
                  <c:v>0.68785538349832764</c:v>
                </c:pt>
                <c:pt idx="32">
                  <c:v>0.69579260968606671</c:v>
                </c:pt>
                <c:pt idx="33">
                  <c:v>0.70346142576522697</c:v>
                </c:pt>
                <c:pt idx="34">
                  <c:v>0.71087445080442069</c:v>
                </c:pt>
                <c:pt idx="35">
                  <c:v>0.7180434780555156</c:v>
                </c:pt>
                <c:pt idx="36">
                  <c:v>0.72497954725625569</c:v>
                </c:pt>
                <c:pt idx="37">
                  <c:v>0.73169300890599676</c:v>
                </c:pt>
                <c:pt idx="38">
                  <c:v>0.73819358159223136</c:v>
                </c:pt>
                <c:pt idx="39">
                  <c:v>0.7444904032767955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E0-409A-A419-BEF63DD46D13}"/>
            </c:ext>
          </c:extLst>
        </c:ser>
        <c:ser>
          <c:idx val="4"/>
          <c:order val="4"/>
          <c:tx>
            <c:strRef>
              <c:f>'Resumo Confiabilidade'!$G$10</c:f>
              <c:strCache>
                <c:ptCount val="1"/>
                <c:pt idx="0">
                  <c:v>ENVASADORA DE SÓLIDOS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'Resumo Confiabilidade'!$B$11:$B$50</c:f>
              <c:numCache>
                <c:formatCode>General</c:formatCode>
                <c:ptCount val="40"/>
                <c:pt idx="0">
                  <c:v>60</c:v>
                </c:pt>
                <c:pt idx="1">
                  <c:v>120</c:v>
                </c:pt>
                <c:pt idx="2">
                  <c:v>180</c:v>
                </c:pt>
                <c:pt idx="3">
                  <c:v>240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480</c:v>
                </c:pt>
                <c:pt idx="8">
                  <c:v>540</c:v>
                </c:pt>
                <c:pt idx="9">
                  <c:v>600</c:v>
                </c:pt>
                <c:pt idx="10">
                  <c:v>660</c:v>
                </c:pt>
                <c:pt idx="11">
                  <c:v>720</c:v>
                </c:pt>
                <c:pt idx="12">
                  <c:v>780</c:v>
                </c:pt>
                <c:pt idx="13">
                  <c:v>840</c:v>
                </c:pt>
                <c:pt idx="14">
                  <c:v>900</c:v>
                </c:pt>
                <c:pt idx="15">
                  <c:v>960</c:v>
                </c:pt>
                <c:pt idx="16">
                  <c:v>1020</c:v>
                </c:pt>
                <c:pt idx="17">
                  <c:v>1080</c:v>
                </c:pt>
                <c:pt idx="18">
                  <c:v>1140</c:v>
                </c:pt>
                <c:pt idx="19">
                  <c:v>1200</c:v>
                </c:pt>
                <c:pt idx="20">
                  <c:v>1260</c:v>
                </c:pt>
                <c:pt idx="21">
                  <c:v>1320</c:v>
                </c:pt>
                <c:pt idx="22">
                  <c:v>1380</c:v>
                </c:pt>
                <c:pt idx="23">
                  <c:v>1440</c:v>
                </c:pt>
                <c:pt idx="24">
                  <c:v>1500</c:v>
                </c:pt>
                <c:pt idx="25">
                  <c:v>1560</c:v>
                </c:pt>
                <c:pt idx="26">
                  <c:v>1620</c:v>
                </c:pt>
                <c:pt idx="27">
                  <c:v>1680</c:v>
                </c:pt>
                <c:pt idx="28">
                  <c:v>1740</c:v>
                </c:pt>
                <c:pt idx="29">
                  <c:v>1800</c:v>
                </c:pt>
                <c:pt idx="30">
                  <c:v>1860</c:v>
                </c:pt>
                <c:pt idx="31">
                  <c:v>1920</c:v>
                </c:pt>
                <c:pt idx="32">
                  <c:v>1980</c:v>
                </c:pt>
                <c:pt idx="33">
                  <c:v>2040</c:v>
                </c:pt>
                <c:pt idx="34">
                  <c:v>2100</c:v>
                </c:pt>
                <c:pt idx="35">
                  <c:v>2160</c:v>
                </c:pt>
                <c:pt idx="36">
                  <c:v>2220</c:v>
                </c:pt>
                <c:pt idx="37">
                  <c:v>2280</c:v>
                </c:pt>
                <c:pt idx="38">
                  <c:v>2340</c:v>
                </c:pt>
                <c:pt idx="39">
                  <c:v>2400</c:v>
                </c:pt>
              </c:numCache>
            </c:numRef>
          </c:xVal>
          <c:yVal>
            <c:numRef>
              <c:f>'Resumo Confiabilidade'!$G$11:$G$50</c:f>
              <c:numCache>
                <c:formatCode>0.00%</c:formatCode>
                <c:ptCount val="40"/>
                <c:pt idx="0">
                  <c:v>9.683347369378166E-2</c:v>
                </c:pt>
                <c:pt idx="1">
                  <c:v>0.17477285212312901</c:v>
                </c:pt>
                <c:pt idx="2">
                  <c:v>0.24302840367488937</c:v>
                </c:pt>
                <c:pt idx="3">
                  <c:v>0.30393642540323912</c:v>
                </c:pt>
                <c:pt idx="4">
                  <c:v>0.35880670758576633</c:v>
                </c:pt>
                <c:pt idx="5">
                  <c:v>0.40853173564384748</c:v>
                </c:pt>
                <c:pt idx="6">
                  <c:v>0.45378063931083784</c:v>
                </c:pt>
                <c:pt idx="7">
                  <c:v>0.49508371172782017</c:v>
                </c:pt>
                <c:pt idx="8">
                  <c:v>0.53287639181206159</c:v>
                </c:pt>
                <c:pt idx="9">
                  <c:v>0.56752499744100038</c:v>
                </c:pt>
                <c:pt idx="10">
                  <c:v>0.59934309747996728</c:v>
                </c:pt>
                <c:pt idx="11">
                  <c:v>0.62860260431062587</c:v>
                </c:pt>
                <c:pt idx="12">
                  <c:v>0.65554166498504041</c:v>
                </c:pt>
                <c:pt idx="13">
                  <c:v>0.68037049644576486</c:v>
                </c:pt>
                <c:pt idx="14">
                  <c:v>0.70327583739842903</c:v>
                </c:pt>
                <c:pt idx="15">
                  <c:v>0.72442443275946988</c:v>
                </c:pt>
                <c:pt idx="16">
                  <c:v>0.74396581925271432</c:v>
                </c:pt>
                <c:pt idx="17">
                  <c:v>0.76203459206781465</c:v>
                </c:pt>
                <c:pt idx="18">
                  <c:v>0.77875227696786209</c:v>
                </c:pt>
                <c:pt idx="19">
                  <c:v>0.79422889623708715</c:v>
                </c:pt>
                <c:pt idx="20">
                  <c:v>0.80856429280922271</c:v>
                </c:pt>
                <c:pt idx="21">
                  <c:v>0.82184926041560091</c:v>
                </c:pt>
                <c:pt idx="22">
                  <c:v>0.83416651599956815</c:v>
                </c:pt>
                <c:pt idx="23">
                  <c:v>0.84559154232624456</c:v>
                </c:pt>
                <c:pt idx="24">
                  <c:v>0.85619332263444847</c:v>
                </c:pt>
                <c:pt idx="25">
                  <c:v>0.86603498465302087</c:v>
                </c:pt>
                <c:pt idx="26">
                  <c:v>0.87517436788506953</c:v>
                </c:pt>
                <c:pt idx="27">
                  <c:v>0.88366452544358287</c:v>
                </c:pt>
                <c:pt idx="28">
                  <c:v>0.89155416968765167</c:v>
                </c:pt>
                <c:pt idx="29">
                  <c:v>0.89888806931028409</c:v>
                </c:pt>
                <c:pt idx="30">
                  <c:v>0.9057074042592822</c:v>
                </c:pt>
                <c:pt idx="31">
                  <c:v>0.91205008385405895</c:v>
                </c:pt>
                <c:pt idx="32">
                  <c:v>0.91795103263640199</c:v>
                </c:pt>
                <c:pt idx="33">
                  <c:v>0.92344244781944496</c:v>
                </c:pt>
                <c:pt idx="34">
                  <c:v>0.92855403164442607</c:v>
                </c:pt>
                <c:pt idx="35">
                  <c:v>0.93331320149479158</c:v>
                </c:pt>
                <c:pt idx="36">
                  <c:v>0.93774528023308046</c:v>
                </c:pt>
                <c:pt idx="37">
                  <c:v>0.94187366890325142</c:v>
                </c:pt>
                <c:pt idx="38">
                  <c:v>0.94572000366829867</c:v>
                </c:pt>
                <c:pt idx="39">
                  <c:v>0.94930429862113552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0-4CAB-9198-688CDF51A355}"/>
            </c:ext>
          </c:extLst>
        </c:ser>
        <c:ser>
          <c:idx val="5"/>
          <c:order val="5"/>
          <c:tx>
            <c:strRef>
              <c:f>'Resumo Confiabilidade'!$H$10</c:f>
              <c:strCache>
                <c:ptCount val="1"/>
                <c:pt idx="0">
                  <c:v>LÍQUIDOS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'Resumo Confiabilidade'!$B$11:$B$50</c:f>
              <c:numCache>
                <c:formatCode>General</c:formatCode>
                <c:ptCount val="40"/>
                <c:pt idx="0">
                  <c:v>60</c:v>
                </c:pt>
                <c:pt idx="1">
                  <c:v>120</c:v>
                </c:pt>
                <c:pt idx="2">
                  <c:v>180</c:v>
                </c:pt>
                <c:pt idx="3">
                  <c:v>240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480</c:v>
                </c:pt>
                <c:pt idx="8">
                  <c:v>540</c:v>
                </c:pt>
                <c:pt idx="9">
                  <c:v>600</c:v>
                </c:pt>
                <c:pt idx="10">
                  <c:v>660</c:v>
                </c:pt>
                <c:pt idx="11">
                  <c:v>720</c:v>
                </c:pt>
                <c:pt idx="12">
                  <c:v>780</c:v>
                </c:pt>
                <c:pt idx="13">
                  <c:v>840</c:v>
                </c:pt>
                <c:pt idx="14">
                  <c:v>900</c:v>
                </c:pt>
                <c:pt idx="15">
                  <c:v>960</c:v>
                </c:pt>
                <c:pt idx="16">
                  <c:v>1020</c:v>
                </c:pt>
                <c:pt idx="17">
                  <c:v>1080</c:v>
                </c:pt>
                <c:pt idx="18">
                  <c:v>1140</c:v>
                </c:pt>
                <c:pt idx="19">
                  <c:v>1200</c:v>
                </c:pt>
                <c:pt idx="20">
                  <c:v>1260</c:v>
                </c:pt>
                <c:pt idx="21">
                  <c:v>1320</c:v>
                </c:pt>
                <c:pt idx="22">
                  <c:v>1380</c:v>
                </c:pt>
                <c:pt idx="23">
                  <c:v>1440</c:v>
                </c:pt>
                <c:pt idx="24">
                  <c:v>1500</c:v>
                </c:pt>
                <c:pt idx="25">
                  <c:v>1560</c:v>
                </c:pt>
                <c:pt idx="26">
                  <c:v>1620</c:v>
                </c:pt>
                <c:pt idx="27">
                  <c:v>1680</c:v>
                </c:pt>
                <c:pt idx="28">
                  <c:v>1740</c:v>
                </c:pt>
                <c:pt idx="29">
                  <c:v>1800</c:v>
                </c:pt>
                <c:pt idx="30">
                  <c:v>1860</c:v>
                </c:pt>
                <c:pt idx="31">
                  <c:v>1920</c:v>
                </c:pt>
                <c:pt idx="32">
                  <c:v>1980</c:v>
                </c:pt>
                <c:pt idx="33">
                  <c:v>2040</c:v>
                </c:pt>
                <c:pt idx="34">
                  <c:v>2100</c:v>
                </c:pt>
                <c:pt idx="35">
                  <c:v>2160</c:v>
                </c:pt>
                <c:pt idx="36">
                  <c:v>2220</c:v>
                </c:pt>
                <c:pt idx="37">
                  <c:v>2280</c:v>
                </c:pt>
                <c:pt idx="38">
                  <c:v>2340</c:v>
                </c:pt>
                <c:pt idx="39">
                  <c:v>2400</c:v>
                </c:pt>
              </c:numCache>
            </c:numRef>
          </c:xVal>
          <c:yVal>
            <c:numRef>
              <c:f>'Resumo Confiabilidade'!$H$11:$H$50</c:f>
              <c:numCache>
                <c:formatCode>0.00%</c:formatCode>
                <c:ptCount val="40"/>
                <c:pt idx="0">
                  <c:v>0.11824309637727304</c:v>
                </c:pt>
                <c:pt idx="1">
                  <c:v>0.18297268644320372</c:v>
                </c:pt>
                <c:pt idx="2">
                  <c:v>0.23402262808675317</c:v>
                </c:pt>
                <c:pt idx="3">
                  <c:v>0.27712693127762528</c:v>
                </c:pt>
                <c:pt idx="4">
                  <c:v>0.3147558421858867</c:v>
                </c:pt>
                <c:pt idx="5">
                  <c:v>0.34827537478191128</c:v>
                </c:pt>
                <c:pt idx="6">
                  <c:v>0.37854673423437524</c:v>
                </c:pt>
                <c:pt idx="7">
                  <c:v>0.40615942013965423</c:v>
                </c:pt>
                <c:pt idx="8">
                  <c:v>0.43154050565620694</c:v>
                </c:pt>
                <c:pt idx="9">
                  <c:v>0.45501252797864578</c:v>
                </c:pt>
                <c:pt idx="10">
                  <c:v>0.47682694709528556</c:v>
                </c:pt>
                <c:pt idx="11">
                  <c:v>0.49718479443672703</c:v>
                </c:pt>
                <c:pt idx="12">
                  <c:v>0.51625008658568861</c:v>
                </c:pt>
                <c:pt idx="13">
                  <c:v>0.53415890630443852</c:v>
                </c:pt>
                <c:pt idx="14">
                  <c:v>0.55102576282153304</c:v>
                </c:pt>
                <c:pt idx="15">
                  <c:v>0.5669481751717782</c:v>
                </c:pt>
                <c:pt idx="16">
                  <c:v>0.58201005596685473</c:v>
                </c:pt>
                <c:pt idx="17">
                  <c:v>0.59628426216536257</c:v>
                </c:pt>
                <c:pt idx="18">
                  <c:v>0.60983455309358026</c:v>
                </c:pt>
                <c:pt idx="19">
                  <c:v>0.6227171175838746</c:v>
                </c:pt>
                <c:pt idx="20">
                  <c:v>0.63498178195474786</c:v>
                </c:pt>
                <c:pt idx="21">
                  <c:v>0.64667297761099407</c:v>
                </c:pt>
                <c:pt idx="22">
                  <c:v>0.65783052487776505</c:v>
                </c:pt>
                <c:pt idx="23">
                  <c:v>0.66849027445250875</c:v>
                </c:pt>
                <c:pt idx="24">
                  <c:v>0.67868463719372718</c:v>
                </c:pt>
                <c:pt idx="25">
                  <c:v>0.68844302536817614</c:v>
                </c:pt>
                <c:pt idx="26">
                  <c:v>0.69779222298138088</c:v>
                </c:pt>
                <c:pt idx="27">
                  <c:v>0.70675669878266456</c:v>
                </c:pt>
                <c:pt idx="28">
                  <c:v>0.71535887253721542</c:v>
                </c:pt>
                <c:pt idx="29">
                  <c:v>0.72361934290176833</c:v>
                </c:pt>
                <c:pt idx="30">
                  <c:v>0.73155708352452153</c:v>
                </c:pt>
                <c:pt idx="31">
                  <c:v>0.73918961267136463</c:v>
                </c:pt>
                <c:pt idx="32">
                  <c:v>0.7465331406577147</c:v>
                </c:pt>
                <c:pt idx="33">
                  <c:v>0.7536026985648927</c:v>
                </c:pt>
                <c:pt idx="34">
                  <c:v>0.76041225108853339</c:v>
                </c:pt>
                <c:pt idx="35">
                  <c:v>0.76697479586449191</c:v>
                </c:pt>
                <c:pt idx="36">
                  <c:v>0.77330245121572816</c:v>
                </c:pt>
                <c:pt idx="37">
                  <c:v>0.77940653393957215</c:v>
                </c:pt>
                <c:pt idx="38">
                  <c:v>0.78529762849186635</c:v>
                </c:pt>
                <c:pt idx="39">
                  <c:v>0.79098564870990284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0-4CAB-9198-688CDF51A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54464"/>
        <c:axId val="144256000"/>
      </c:scatterChart>
      <c:valAx>
        <c:axId val="144254464"/>
        <c:scaling>
          <c:orientation val="minMax"/>
          <c:max val="2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256000"/>
        <c:crosses val="autoZero"/>
        <c:crossBetween val="midCat"/>
      </c:valAx>
      <c:valAx>
        <c:axId val="1442560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25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75" footer="0.3149606200000007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</a:t>
            </a:r>
            <a:r>
              <a:rPr lang="pt-BR" baseline="0"/>
              <a:t> de Custos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Custo Total</c:v>
          </c:tx>
          <c:spPr>
            <a:ln w="158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('Cenário 1'!$E$2,'Cenário 1'!$L$2,'Cenário 1'!$S$2,'Cenário 1'!$Z$2,'Cenário 1'!$AG$2)</c:f>
              <c:numCache>
                <c:formatCode>0.00</c:formatCode>
                <c:ptCount val="5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5000</c:v>
                </c:pt>
                <c:pt idx="4">
                  <c:v>7000</c:v>
                </c:pt>
              </c:numCache>
            </c:numRef>
          </c:xVal>
          <c:yVal>
            <c:numRef>
              <c:f>('Cenário 1'!$G$12,'Cenário 1'!$N$12,'Cenário 1'!$U$12,'Cenário 1'!$AB$12,'Cenário 1'!$AI$12)</c:f>
              <c:numCache>
                <c:formatCode>General</c:formatCode>
                <c:ptCount val="5"/>
                <c:pt idx="0">
                  <c:v>16622.265441053773</c:v>
                </c:pt>
                <c:pt idx="1">
                  <c:v>14764.560728715023</c:v>
                </c:pt>
                <c:pt idx="2">
                  <c:v>13446.172315499305</c:v>
                </c:pt>
                <c:pt idx="3">
                  <c:v>13089.412535913161</c:v>
                </c:pt>
                <c:pt idx="4">
                  <c:v>12904.086958711683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13-4522-A10F-CA5B42624B35}"/>
            </c:ext>
          </c:extLst>
        </c:ser>
        <c:ser>
          <c:idx val="1"/>
          <c:order val="1"/>
          <c:tx>
            <c:v>Preventiva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92D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('Cenário 1'!$E$2,'Cenário 1'!$L$2,'Cenário 1'!$S$2,'Cenário 1'!$Z$2,'Cenário 1'!$AG$2)</c:f>
              <c:numCache>
                <c:formatCode>0.00</c:formatCode>
                <c:ptCount val="5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5000</c:v>
                </c:pt>
                <c:pt idx="4">
                  <c:v>7000</c:v>
                </c:pt>
              </c:numCache>
            </c:numRef>
          </c:xVal>
          <c:yVal>
            <c:numRef>
              <c:f>('Cenário 1'!$G$13,'Cenário 1'!$N$13,'Cenário 1'!$U$13,'Cenário 1'!$AB$13,'Cenário 1'!$AI$13)</c:f>
              <c:numCache>
                <c:formatCode>General</c:formatCode>
                <c:ptCount val="5"/>
                <c:pt idx="0">
                  <c:v>808.66666666666663</c:v>
                </c:pt>
                <c:pt idx="1">
                  <c:v>1916.3333333333335</c:v>
                </c:pt>
                <c:pt idx="2">
                  <c:v>2990.3333333333335</c:v>
                </c:pt>
                <c:pt idx="3">
                  <c:v>4350.3333333333339</c:v>
                </c:pt>
                <c:pt idx="4">
                  <c:v>5887.0000000000009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13-4522-A10F-CA5B42624B35}"/>
            </c:ext>
          </c:extLst>
        </c:ser>
        <c:ser>
          <c:idx val="2"/>
          <c:order val="2"/>
          <c:tx>
            <c:v>Corretiva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('Cenário 1'!$E$2,'Cenário 1'!$L$2,'Cenário 1'!$S$2,'Cenário 1'!$Z$2,'Cenário 1'!$AG$2)</c:f>
              <c:numCache>
                <c:formatCode>0.00</c:formatCode>
                <c:ptCount val="5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5000</c:v>
                </c:pt>
                <c:pt idx="4">
                  <c:v>7000</c:v>
                </c:pt>
              </c:numCache>
            </c:numRef>
          </c:xVal>
          <c:yVal>
            <c:numRef>
              <c:f>('Cenário 1'!$G$14,'Cenário 1'!$N$14,'Cenário 1'!$U$14,'Cenário 1'!$AB$14,'Cenário 1'!$AI$14)</c:f>
              <c:numCache>
                <c:formatCode>General</c:formatCode>
                <c:ptCount val="5"/>
                <c:pt idx="0">
                  <c:v>15813.598774387106</c:v>
                </c:pt>
                <c:pt idx="1">
                  <c:v>12848.227395381689</c:v>
                </c:pt>
                <c:pt idx="2">
                  <c:v>10455.838982165971</c:v>
                </c:pt>
                <c:pt idx="3">
                  <c:v>8739.0792025798273</c:v>
                </c:pt>
                <c:pt idx="4">
                  <c:v>7017.0869587116822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13-4522-A10F-CA5B4262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16320"/>
        <c:axId val="156227072"/>
      </c:scatterChart>
      <c:valAx>
        <c:axId val="15621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Orçamento Limite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227072"/>
        <c:crosses val="autoZero"/>
        <c:crossBetween val="midCat"/>
      </c:valAx>
      <c:valAx>
        <c:axId val="156227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Custo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216320"/>
        <c:crosses val="autoZero"/>
        <c:crossBetween val="midCat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</a:t>
            </a:r>
            <a:r>
              <a:rPr lang="pt-BR" baseline="0"/>
              <a:t> de Custos</a:t>
            </a:r>
            <a:endParaRPr lang="pt-BR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</c:v>
          </c:tx>
          <c:spPr>
            <a:ln w="28575">
              <a:solidFill>
                <a:schemeClr val="tx2"/>
              </a:solidFill>
            </a:ln>
          </c:spPr>
          <c:marker>
            <c:symbol val="circle"/>
            <c:size val="8"/>
          </c:marker>
          <c:xVal>
            <c:numRef>
              <c:f>('Cenário 4'!$F$5,'Cenário 4'!$O$5,'Cenário 4'!$X$5,'Cenário 4'!$AG$5,'Cenário 4'!$AP$5,'Cenário 4'!$AY$5,'Cenário 4'!$BH$5,'Cenário 4'!$BQ$5)</c:f>
              <c:numCache>
                <c:formatCode>0.00</c:formatCode>
                <c:ptCount val="8"/>
                <c:pt idx="0">
                  <c:v>0</c:v>
                </c:pt>
                <c:pt idx="1">
                  <c:v>2000</c:v>
                </c:pt>
                <c:pt idx="2">
                  <c:v>2100</c:v>
                </c:pt>
                <c:pt idx="3">
                  <c:v>3000</c:v>
                </c:pt>
                <c:pt idx="4">
                  <c:v>4000</c:v>
                </c:pt>
                <c:pt idx="5">
                  <c:v>5500</c:v>
                </c:pt>
                <c:pt idx="6">
                  <c:v>6500</c:v>
                </c:pt>
                <c:pt idx="7">
                  <c:v>7500</c:v>
                </c:pt>
              </c:numCache>
            </c:numRef>
          </c:xVal>
          <c:yVal>
            <c:numRef>
              <c:f>('Cenário 4'!$H$15,'Cenário 4'!$Q$15,'Cenário 4'!$Z$15,'Cenário 4'!$AI$15,'Cenário 4'!$AR$15,'Cenário 4'!$BA$15,'Cenário 4'!$BJ$15,'Cenário 4'!$BS$15)</c:f>
              <c:numCache>
                <c:formatCode>General</c:formatCode>
                <c:ptCount val="8"/>
                <c:pt idx="0">
                  <c:v>25017.690793512178</c:v>
                </c:pt>
                <c:pt idx="1">
                  <c:v>21377.018759354476</c:v>
                </c:pt>
                <c:pt idx="2">
                  <c:v>20593.253494790697</c:v>
                </c:pt>
                <c:pt idx="3">
                  <c:v>18717.824792643893</c:v>
                </c:pt>
                <c:pt idx="4">
                  <c:v>17934.059528080117</c:v>
                </c:pt>
                <c:pt idx="5">
                  <c:v>16931.752479806048</c:v>
                </c:pt>
                <c:pt idx="6">
                  <c:v>16147.98721524227</c:v>
                </c:pt>
                <c:pt idx="7">
                  <c:v>16110.358564789018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1-412F-A4D3-1511588536E9}"/>
            </c:ext>
          </c:extLst>
        </c:ser>
        <c:ser>
          <c:idx val="1"/>
          <c:order val="1"/>
          <c:tx>
            <c:v>Preventiva</c:v>
          </c:tx>
          <c:spPr>
            <a:ln w="28575">
              <a:solidFill>
                <a:srgbClr val="FF0000"/>
              </a:solidFill>
            </a:ln>
          </c:spPr>
          <c:marker>
            <c:symbol val="circle"/>
            <c:size val="8"/>
          </c:marker>
          <c:xVal>
            <c:numRef>
              <c:f>('Cenário 4'!$F$5,'Cenário 4'!$O$5,'Cenário 4'!$X$5,'Cenário 4'!$AG$5,'Cenário 4'!$AP$5,'Cenário 4'!$AY$5,'Cenário 4'!$BH$5,'Cenário 4'!$BQ$5)</c:f>
              <c:numCache>
                <c:formatCode>0.00</c:formatCode>
                <c:ptCount val="8"/>
                <c:pt idx="0">
                  <c:v>0</c:v>
                </c:pt>
                <c:pt idx="1">
                  <c:v>2000</c:v>
                </c:pt>
                <c:pt idx="2">
                  <c:v>2100</c:v>
                </c:pt>
                <c:pt idx="3">
                  <c:v>3000</c:v>
                </c:pt>
                <c:pt idx="4">
                  <c:v>4000</c:v>
                </c:pt>
                <c:pt idx="5">
                  <c:v>5500</c:v>
                </c:pt>
                <c:pt idx="6">
                  <c:v>6500</c:v>
                </c:pt>
                <c:pt idx="7">
                  <c:v>7500</c:v>
                </c:pt>
              </c:numCache>
            </c:numRef>
          </c:xVal>
          <c:yVal>
            <c:numRef>
              <c:f>('Cenário 4'!$H$16,'Cenário 4'!$Q$16,'Cenário 4'!$Z$16,'Cenário 4'!$AI$16,'Cenário 4'!$AR$16,'Cenário 4'!$BA$16,'Cenário 4'!$BJ$16,'Cenário 4'!$BS$16)</c:f>
              <c:numCache>
                <c:formatCode>General</c:formatCode>
                <c:ptCount val="8"/>
                <c:pt idx="0">
                  <c:v>0</c:v>
                </c:pt>
                <c:pt idx="1">
                  <c:v>1027</c:v>
                </c:pt>
                <c:pt idx="2">
                  <c:v>2047.6666666666665</c:v>
                </c:pt>
                <c:pt idx="3">
                  <c:v>2842</c:v>
                </c:pt>
                <c:pt idx="4">
                  <c:v>3862.6666666666665</c:v>
                </c:pt>
                <c:pt idx="5">
                  <c:v>5443.65</c:v>
                </c:pt>
                <c:pt idx="6">
                  <c:v>6464.3166666666666</c:v>
                </c:pt>
                <c:pt idx="7">
                  <c:v>7488.3166666666657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01-412F-A4D3-1511588536E9}"/>
            </c:ext>
          </c:extLst>
        </c:ser>
        <c:ser>
          <c:idx val="2"/>
          <c:order val="2"/>
          <c:tx>
            <c:v>Corretiva</c:v>
          </c:tx>
          <c:spPr>
            <a:ln w="28575">
              <a:solidFill>
                <a:srgbClr val="00B050"/>
              </a:solidFill>
            </a:ln>
          </c:spPr>
          <c:marker>
            <c:symbol val="circle"/>
            <c:size val="8"/>
          </c:marker>
          <c:xVal>
            <c:numRef>
              <c:f>('Cenário 4'!$F$5,'Cenário 4'!$O$5,'Cenário 4'!$X$5,'Cenário 4'!$AG$5,'Cenário 4'!$AP$5,'Cenário 4'!$AY$5,'Cenário 4'!$BH$5,'Cenário 4'!$BQ$5)</c:f>
              <c:numCache>
                <c:formatCode>0.00</c:formatCode>
                <c:ptCount val="8"/>
                <c:pt idx="0">
                  <c:v>0</c:v>
                </c:pt>
                <c:pt idx="1">
                  <c:v>2000</c:v>
                </c:pt>
                <c:pt idx="2">
                  <c:v>2100</c:v>
                </c:pt>
                <c:pt idx="3">
                  <c:v>3000</c:v>
                </c:pt>
                <c:pt idx="4">
                  <c:v>4000</c:v>
                </c:pt>
                <c:pt idx="5">
                  <c:v>5500</c:v>
                </c:pt>
                <c:pt idx="6">
                  <c:v>6500</c:v>
                </c:pt>
                <c:pt idx="7">
                  <c:v>7500</c:v>
                </c:pt>
              </c:numCache>
            </c:numRef>
          </c:xVal>
          <c:yVal>
            <c:numRef>
              <c:f>('Cenário 4'!$H$17,'Cenário 4'!$Q$17,'Cenário 4'!$Z$17,'Cenário 4'!$AI$17,'Cenário 4'!$AR$17,'Cenário 4'!$BA$17,'Cenário 4'!$BJ$17,'Cenário 4'!$BS$17)</c:f>
              <c:numCache>
                <c:formatCode>General</c:formatCode>
                <c:ptCount val="8"/>
                <c:pt idx="0">
                  <c:v>25017.690793512178</c:v>
                </c:pt>
                <c:pt idx="1">
                  <c:v>20350.018759354476</c:v>
                </c:pt>
                <c:pt idx="2">
                  <c:v>18545.586828124029</c:v>
                </c:pt>
                <c:pt idx="3">
                  <c:v>15875.824792643893</c:v>
                </c:pt>
                <c:pt idx="4">
                  <c:v>14071.392861413451</c:v>
                </c:pt>
                <c:pt idx="5">
                  <c:v>11488.102479806048</c:v>
                </c:pt>
                <c:pt idx="6">
                  <c:v>9683.6705485756029</c:v>
                </c:pt>
                <c:pt idx="7">
                  <c:v>8622.041898122352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01-412F-A4D3-15115885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39424"/>
        <c:axId val="156070272"/>
      </c:scatterChart>
      <c:valAx>
        <c:axId val="156039424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Orçamento Limite (R$)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56070272"/>
        <c:crosses val="autoZero"/>
        <c:crossBetween val="midCat"/>
      </c:valAx>
      <c:valAx>
        <c:axId val="156070272"/>
        <c:scaling>
          <c:orientation val="minMax"/>
          <c:max val="26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Custo (R$)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56039424"/>
        <c:crosses val="autoZero"/>
        <c:crossBetween val="midCat"/>
      </c:valAx>
      <c:spPr>
        <a:blipFill>
          <a:blip xmlns:r="http://schemas.openxmlformats.org/officeDocument/2006/relationships" r:embed="rId1"/>
          <a:tile tx="0" ty="0" sx="100000" sy="100000" flip="none" algn="tl"/>
        </a:blipFill>
      </c:spPr>
    </c:plotArea>
    <c:legend>
      <c:legendPos val="r"/>
      <c:overlay val="0"/>
    </c:legend>
    <c:plotVisOnly val="1"/>
    <c:dispBlanksAs val="gap"/>
    <c:showDLblsOverMax val="0"/>
  </c:chart>
  <c:spPr>
    <a:blipFill>
      <a:blip xmlns:r="http://schemas.openxmlformats.org/officeDocument/2006/relationships" r:embed="rId1"/>
      <a:tile tx="0" ty="0" sx="100000" sy="100000" flip="none" algn="tl"/>
    </a:blipFill>
  </c:spPr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12</xdr:row>
          <xdr:rowOff>171450</xdr:rowOff>
        </xdr:from>
        <xdr:to>
          <xdr:col>6</xdr:col>
          <xdr:colOff>0</xdr:colOff>
          <xdr:row>15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283709</xdr:colOff>
      <xdr:row>3</xdr:row>
      <xdr:rowOff>8846</xdr:rowOff>
    </xdr:from>
    <xdr:to>
      <xdr:col>34</xdr:col>
      <xdr:colOff>204107</xdr:colOff>
      <xdr:row>33</xdr:row>
      <xdr:rowOff>176893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8</xdr:row>
      <xdr:rowOff>171450</xdr:rowOff>
    </xdr:from>
    <xdr:to>
      <xdr:col>8</xdr:col>
      <xdr:colOff>0</xdr:colOff>
      <xdr:row>11</xdr:row>
      <xdr:rowOff>180975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886450" y="1695450"/>
          <a:ext cx="2971800" cy="390525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CHP</a:t>
          </a:r>
          <a:r>
            <a:rPr lang="pt-BR" sz="1100" baseline="0">
              <a:solidFill>
                <a:schemeClr val="bg1"/>
              </a:solidFill>
            </a:rPr>
            <a:t> - Custo de uma Preventiva</a:t>
          </a:r>
        </a:p>
        <a:p>
          <a:pPr algn="ctr"/>
          <a:r>
            <a:rPr lang="pt-BR" sz="1100" baseline="0">
              <a:solidFill>
                <a:schemeClr val="bg1"/>
              </a:solidFill>
            </a:rPr>
            <a:t>CHCL - Custo Corretiva Leve</a:t>
          </a:r>
        </a:p>
        <a:p>
          <a:pPr algn="ctr"/>
          <a:r>
            <a:rPr lang="pt-BR" sz="1100" baseline="0">
              <a:solidFill>
                <a:schemeClr val="bg1"/>
              </a:solidFill>
            </a:rPr>
            <a:t>CHCG - Custo Corretiva Grave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8</xdr:row>
      <xdr:rowOff>92878</xdr:rowOff>
    </xdr:from>
    <xdr:to>
      <xdr:col>12</xdr:col>
      <xdr:colOff>581024</xdr:colOff>
      <xdr:row>22</xdr:row>
      <xdr:rowOff>57150</xdr:rowOff>
    </xdr:to>
    <xdr:pic>
      <xdr:nvPicPr>
        <xdr:cNvPr id="23553" name="Picture 1">
          <a:extLst>
            <a:ext uri="{FF2B5EF4-FFF2-40B4-BE49-F238E27FC236}">
              <a16:creationId xmlns:a16="http://schemas.microsoft.com/office/drawing/2014/main" id="{00000000-0008-0000-09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15275" y="1616878"/>
          <a:ext cx="3352800" cy="320277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80962</xdr:colOff>
      <xdr:row>12</xdr:row>
      <xdr:rowOff>180975</xdr:rowOff>
    </xdr:from>
    <xdr:to>
      <xdr:col>16</xdr:col>
      <xdr:colOff>0</xdr:colOff>
      <xdr:row>21</xdr:row>
      <xdr:rowOff>161925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80962" y="1514475"/>
          <a:ext cx="9634538" cy="13144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Ti</a:t>
          </a:r>
          <a:r>
            <a:rPr lang="pt-BR" sz="1100"/>
            <a:t>: </a:t>
          </a:r>
          <a:r>
            <a:rPr lang="pt-BR" sz="1100" b="0"/>
            <a:t>TEMPO (min) ATUAL DE FUNCIONAMENTO DA MÁQUINA, </a:t>
          </a:r>
          <a:r>
            <a:rPr lang="pt-BR" sz="1100"/>
            <a:t>OU SEJA, A QUANTO TEMPO ELA ESTÁ OPERANDO</a:t>
          </a:r>
        </a:p>
        <a:p>
          <a:endParaRPr lang="pt-BR" sz="1100"/>
        </a:p>
        <a:p>
          <a:r>
            <a:rPr lang="pt-BR" sz="1100" b="1"/>
            <a:t>Xi</a:t>
          </a:r>
          <a:r>
            <a:rPr lang="pt-BR" sz="1100"/>
            <a:t>: VARIÁVEL</a:t>
          </a:r>
          <a:r>
            <a:rPr lang="pt-BR" sz="1100" baseline="0"/>
            <a:t> DE DECISÃO. </a:t>
          </a:r>
        </a:p>
        <a:p>
          <a:endParaRPr lang="pt-BR" sz="1100" b="1" baseline="0"/>
        </a:p>
        <a:p>
          <a:r>
            <a:rPr lang="pt-BR" sz="1100" b="1" baseline="0"/>
            <a:t>- Xi = 1 </a:t>
          </a:r>
          <a:r>
            <a:rPr lang="pt-BR" sz="1100" baseline="0"/>
            <a:t>REPRESENTA A INCLUSÃO DA MÁQUINA NA MANUTENÇÃO PREVENTIVA.</a:t>
          </a:r>
          <a:endParaRPr lang="pt-BR" sz="1100" b="1" baseline="0"/>
        </a:p>
        <a:p>
          <a:endParaRPr lang="pt-BR" sz="1100" b="1" baseline="0"/>
        </a:p>
        <a:p>
          <a:r>
            <a:rPr lang="pt-BR" sz="1100" b="1" baseline="0"/>
            <a:t>- Xi = 0 </a:t>
          </a:r>
          <a:r>
            <a:rPr lang="pt-BR" sz="1100" baseline="0"/>
            <a:t>REPRESENTA QUE A MÁQUINA NÃO FOI ESCCOLHIDA PARA MANUTENÇÃO PREVENTIVA.</a:t>
          </a:r>
        </a:p>
        <a:p>
          <a:endParaRPr lang="pt-BR" sz="1100" baseline="0"/>
        </a:p>
        <a:p>
          <a:r>
            <a:rPr lang="pt-BR" sz="1100" b="1" baseline="0"/>
            <a:t>OL: </a:t>
          </a:r>
          <a:r>
            <a:rPr lang="pt-BR" sz="1100" b="0" baseline="0"/>
            <a:t>ORÇAMENTO LIMITE DISPONÍVEL PARA A MANUTENÇÃO PREVENTIVA</a:t>
          </a:r>
          <a:endParaRPr lang="pt-BR" sz="1100" b="1" baseline="0"/>
        </a:p>
        <a:p>
          <a:endParaRPr lang="pt-BR" sz="1100" baseline="0"/>
        </a:p>
      </xdr:txBody>
    </xdr:sp>
    <xdr:clientData/>
  </xdr:twoCellAnchor>
  <xdr:twoCellAnchor>
    <xdr:from>
      <xdr:col>0</xdr:col>
      <xdr:colOff>92868</xdr:colOff>
      <xdr:row>22</xdr:row>
      <xdr:rowOff>7145</xdr:rowOff>
    </xdr:from>
    <xdr:to>
      <xdr:col>15</xdr:col>
      <xdr:colOff>607218</xdr:colOff>
      <xdr:row>29</xdr:row>
      <xdr:rowOff>133351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92868" y="2864645"/>
          <a:ext cx="9622631" cy="1459706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100" b="1"/>
            <a:t>β</a:t>
          </a:r>
          <a:r>
            <a:rPr lang="pt-BR" sz="1100" b="1"/>
            <a:t>i1</a:t>
          </a:r>
          <a:r>
            <a:rPr lang="pt-BR" sz="1100"/>
            <a:t>: </a:t>
          </a:r>
          <a:r>
            <a:rPr lang="pt-BR" sz="1100" baseline="0"/>
            <a:t>VALORES DE CONFIABILIDADE DA MÁQUINA, OU SEJA,  A CHANCE DELA </a:t>
          </a:r>
          <a:r>
            <a:rPr lang="pt-BR" sz="1100" b="1" baseline="0"/>
            <a:t>NÃO FALHAR </a:t>
          </a:r>
          <a:r>
            <a:rPr lang="pt-BR" sz="1100" baseline="0"/>
            <a:t>SEM PREVENTIVA</a:t>
          </a:r>
        </a:p>
        <a:p>
          <a:r>
            <a:rPr lang="el-GR" sz="1100" b="1" baseline="0"/>
            <a:t>β</a:t>
          </a:r>
          <a:r>
            <a:rPr lang="pt-BR" sz="1100" b="1" baseline="0"/>
            <a:t>i2</a:t>
          </a:r>
          <a:r>
            <a:rPr lang="pt-BR" sz="1100" baseline="0"/>
            <a:t>: VALORES DE PROBABILIDADE DE OCORRÊNCIA DE </a:t>
          </a:r>
          <a:r>
            <a:rPr lang="pt-BR" sz="1100" b="1" baseline="0"/>
            <a:t>FALHA LEVE </a:t>
          </a:r>
          <a:r>
            <a:rPr lang="pt-BR" sz="1100" baseline="0"/>
            <a:t>CASO NÃO SE FAÇA A PREVENTIVA</a:t>
          </a:r>
          <a:endParaRPr lang="pt-BR" sz="1100"/>
        </a:p>
        <a:p>
          <a:r>
            <a:rPr lang="el-GR" sz="1100" b="1"/>
            <a:t>β</a:t>
          </a:r>
          <a:r>
            <a:rPr lang="pt-BR" sz="1100" b="1"/>
            <a:t>i3</a:t>
          </a:r>
          <a:r>
            <a:rPr lang="pt-BR" sz="1100"/>
            <a:t>: 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 DE PROBABILIDADE DE OCORRÊNCIA DE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FALHA GRAVE 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NÃO SE FAÇA A PREVENTIVA</a:t>
          </a:r>
        </a:p>
        <a:p>
          <a:r>
            <a:rPr lang="el-GR" sz="1100" b="1"/>
            <a:t>β</a:t>
          </a:r>
          <a:r>
            <a:rPr lang="pt-BR" sz="1100" b="1"/>
            <a:t>i4</a:t>
          </a:r>
          <a:r>
            <a:rPr lang="pt-BR" sz="1100"/>
            <a:t>:</a:t>
          </a:r>
          <a:r>
            <a:rPr lang="pt-BR" sz="1100" baseline="0"/>
            <a:t> VALORES DE PROBABILIDADE DE OCORRÊNCIA DE </a:t>
          </a:r>
          <a:r>
            <a:rPr lang="pt-BR" sz="1100" b="1" baseline="0"/>
            <a:t>FALHA LEVE </a:t>
          </a:r>
          <a:r>
            <a:rPr lang="pt-BR" sz="1100" baseline="0"/>
            <a:t>CASO SEJA EFETUADA A PREVENTIVA. ASSUME-SE UMA </a:t>
          </a:r>
          <a:r>
            <a:rPr lang="pt-BR" sz="1100" b="1" baseline="0"/>
            <a:t>REDUÇÃO DE 70% </a:t>
          </a:r>
          <a:r>
            <a:rPr lang="pt-BR" sz="1100" baseline="0"/>
            <a:t>EM RELAÇÃO A CHANCE DE OCORRER FALHA SEM PREVENTIVA.</a:t>
          </a:r>
        </a:p>
        <a:p>
          <a:r>
            <a:rPr lang="el-GR" sz="1100" b="1" baseline="0"/>
            <a:t>β</a:t>
          </a:r>
          <a:r>
            <a:rPr lang="pt-BR" sz="1100" b="1" baseline="0"/>
            <a:t>i5</a:t>
          </a:r>
          <a:r>
            <a:rPr lang="pt-BR" sz="1100" baseline="0"/>
            <a:t>: VALORES DE PROBABILIDADE DE OCORRÊNCIA DE </a:t>
          </a:r>
          <a:r>
            <a:rPr lang="pt-BR" sz="1100" b="1" baseline="0"/>
            <a:t>FALHA GRAVE </a:t>
          </a:r>
          <a:r>
            <a:rPr lang="pt-BR" sz="1100" baseline="0"/>
            <a:t> CASO SEJA EFETUADA A PREVENTIVA. ASSUME-SE QUE APÓS UMA PREVENTIVA A PROBABILIDADE DE OCORRÊNCIA DE FALHA GRAVE É REDUZIDA A ZERO.</a:t>
          </a:r>
        </a:p>
        <a:p>
          <a:r>
            <a:rPr lang="el-G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β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i6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 PROBABILIDADE DE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NÃO OCORRER FALHA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CASO SEJA EFETUADA A MANUTENÇÃO PREVENTIVA.</a:t>
          </a:r>
          <a:endParaRPr lang="pt-BR" sz="1100" baseline="0"/>
        </a:p>
        <a:p>
          <a:endParaRPr lang="pt-BR" sz="1400"/>
        </a:p>
      </xdr:txBody>
    </xdr:sp>
    <xdr:clientData/>
  </xdr:twoCellAnchor>
  <xdr:twoCellAnchor>
    <xdr:from>
      <xdr:col>0</xdr:col>
      <xdr:colOff>97631</xdr:colOff>
      <xdr:row>29</xdr:row>
      <xdr:rowOff>188118</xdr:rowOff>
    </xdr:from>
    <xdr:to>
      <xdr:col>15</xdr:col>
      <xdr:colOff>595313</xdr:colOff>
      <xdr:row>39</xdr:row>
      <xdr:rowOff>190499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97631" y="4379118"/>
          <a:ext cx="9605963" cy="1907381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CUSTO ASSOCIADO À REALIZAÇÃO DA MANUTENÇÃO PREVENTIVA</a:t>
          </a:r>
          <a:endParaRPr lang="pt-BR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Ci1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pt-BR" sz="1100"/>
            <a:t> CUSTO ASSOCIADO À NÃO OCORRÊNCIA</a:t>
          </a:r>
          <a:r>
            <a:rPr lang="pt-BR" sz="1100" baseline="0"/>
            <a:t> DE FALHA S/ MANUTENÇÃO PREVENTIVA, OU SEJA </a:t>
          </a:r>
          <a:r>
            <a:rPr lang="pt-BR" sz="1100" b="1" baseline="0"/>
            <a:t>ZERO</a:t>
          </a:r>
        </a:p>
        <a:p>
          <a:r>
            <a:rPr lang="pt-BR" sz="1100" b="1" baseline="0"/>
            <a:t>Ci2</a:t>
          </a:r>
          <a:r>
            <a:rPr lang="pt-BR" sz="1100" b="0" baseline="0"/>
            <a:t>: CUSTO ASOCIADO À MANUTENÇÃO CORRETIVA NUMA OCORRÊNCIA DE </a:t>
          </a:r>
          <a:r>
            <a:rPr lang="pt-BR" sz="1100" b="1" baseline="0"/>
            <a:t>FALHA LEVE </a:t>
          </a:r>
          <a:r>
            <a:rPr lang="pt-BR" sz="1100" b="0" baseline="0"/>
            <a:t>S/ MANUTENÇÃO PREVENTIVA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Ci3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CUSTO ASOCIADO À MANUTENÇÃO CORRETIVA NUMA OCORRÊNCIA DE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FALHA GRAVE 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S/ MANUTENÇÃO PREVENTIVA</a:t>
          </a:r>
          <a:endParaRPr lang="pt-BR" sz="1100">
            <a:effectLst/>
          </a:endParaRP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Ci4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CUSTO ASOCIADO À MANUTENÇÃO CORRETIVA NUMA  OCORRÊNCIA DE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FALHA LEVE 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C/ MANUTENÇÃO PREVENTIVA </a:t>
          </a:r>
        </a:p>
        <a:p>
          <a:pPr eaLnBrk="1" fontAlgn="auto" latinLnBrk="0" hangingPunct="1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Ci5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CUSTO ASOCIADO À MANUTENÇÃO CORRETIVA NUMA  OCORRÊNCIA DE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FALHA GRAVE 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C/ MANUTENÇÃO PREVENTIVA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Ci6</a:t>
          </a:r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CUSTO ASSOCIADO À NÃO OCORRÊNCIA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FALHA C/ MANUTENÇÃO PREVENTIVA, OU SEJA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OBS: OS CUSTOS DE MANUTENÇÃO CORRETIVA PARA FALHA LEVE EM C/ MANUTENÇÃO PREVENTIVA SÃO OS MESMOS CUSTOS PARA FALHA LEVE S/ MANUTENÇÃO PREVENTIVA. O MESMO VALE PARA OS CASOS DE FALHA GRAVE.</a:t>
          </a:r>
          <a:endParaRPr lang="pt-BR" sz="1100">
            <a:effectLst/>
          </a:endParaRPr>
        </a:p>
        <a:p>
          <a:pPr eaLnBrk="1" fontAlgn="auto" latinLnBrk="0" hangingPunct="1"/>
          <a:endParaRPr lang="pt-BR" sz="1400">
            <a:effectLst/>
          </a:endParaRPr>
        </a:p>
        <a:p>
          <a:endParaRPr lang="pt-BR" sz="1400" b="0"/>
        </a:p>
      </xdr:txBody>
    </xdr:sp>
    <xdr:clientData/>
  </xdr:twoCellAnchor>
  <xdr:twoCellAnchor editAs="oneCell">
    <xdr:from>
      <xdr:col>17</xdr:col>
      <xdr:colOff>88635</xdr:colOff>
      <xdr:row>12</xdr:row>
      <xdr:rowOff>103188</xdr:rowOff>
    </xdr:from>
    <xdr:to>
      <xdr:col>26</xdr:col>
      <xdr:colOff>23706</xdr:colOff>
      <xdr:row>21</xdr:row>
      <xdr:rowOff>91758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523802" y="2389188"/>
          <a:ext cx="5459571" cy="17030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409574</xdr:colOff>
      <xdr:row>23</xdr:row>
      <xdr:rowOff>35719</xdr:rowOff>
    </xdr:from>
    <xdr:to>
      <xdr:col>23</xdr:col>
      <xdr:colOff>104774</xdr:colOff>
      <xdr:row>27</xdr:row>
      <xdr:rowOff>119063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9696449" y="4226719"/>
          <a:ext cx="4743450" cy="8453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- As </a:t>
          </a:r>
          <a:r>
            <a:rPr lang="pt-BR" sz="1100" baseline="0"/>
            <a:t>máquinas se encontram em 900 min (metade da semana).</a:t>
          </a:r>
        </a:p>
        <a:p>
          <a:r>
            <a:rPr lang="pt-BR" sz="1100" baseline="0"/>
            <a:t>- Todas elas possuem o mesmo custo/hora associado à parada. </a:t>
          </a:r>
        </a:p>
        <a:p>
          <a:r>
            <a:rPr lang="pt-BR" sz="1100" baseline="0"/>
            <a:t>- Os valores limites e down time e de redução de falha leve não foram alterados</a:t>
          </a:r>
        </a:p>
        <a:p>
          <a:r>
            <a:rPr lang="pt-BR" sz="1100" baseline="0"/>
            <a:t>- Iniciando em R$ 1000,00 o OL será acrescido a cada teste.</a:t>
          </a:r>
          <a:endParaRPr lang="pt-BR" sz="1100"/>
        </a:p>
      </xdr:txBody>
    </xdr:sp>
    <xdr:clientData/>
  </xdr:twoCellAnchor>
  <xdr:twoCellAnchor>
    <xdr:from>
      <xdr:col>0</xdr:col>
      <xdr:colOff>586713</xdr:colOff>
      <xdr:row>23</xdr:row>
      <xdr:rowOff>72625</xdr:rowOff>
    </xdr:from>
    <xdr:to>
      <xdr:col>15</xdr:col>
      <xdr:colOff>43655</xdr:colOff>
      <xdr:row>40</xdr:row>
      <xdr:rowOff>142873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59531</xdr:rowOff>
    </xdr:from>
    <xdr:to>
      <xdr:col>6</xdr:col>
      <xdr:colOff>583406</xdr:colOff>
      <xdr:row>21</xdr:row>
      <xdr:rowOff>107156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07219" y="3298031"/>
          <a:ext cx="3714750" cy="1190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Apesar da máquina </a:t>
          </a:r>
          <a:r>
            <a:rPr lang="pt-BR" sz="1100" b="1"/>
            <a:t>A</a:t>
          </a:r>
          <a:r>
            <a:rPr lang="pt-BR" sz="1100"/>
            <a:t> ser menos confiável ela não foi selecionada para a manutenção preventiva logo de cara, pois o custo da sua preventiva ultrapassa o orçamento. O mesmo</a:t>
          </a:r>
          <a:r>
            <a:rPr lang="pt-BR" sz="1100" baseline="0"/>
            <a:t> vale para a máquina B. Sendo selecionada então a 3° máquina menos confiável.</a:t>
          </a:r>
          <a:endParaRPr lang="pt-BR" sz="1100"/>
        </a:p>
      </xdr:txBody>
    </xdr:sp>
    <xdr:clientData/>
  </xdr:twoCellAnchor>
  <xdr:twoCellAnchor>
    <xdr:from>
      <xdr:col>8</xdr:col>
      <xdr:colOff>21431</xdr:colOff>
      <xdr:row>15</xdr:row>
      <xdr:rowOff>57150</xdr:rowOff>
    </xdr:from>
    <xdr:to>
      <xdr:col>13</xdr:col>
      <xdr:colOff>604837</xdr:colOff>
      <xdr:row>21</xdr:row>
      <xdr:rowOff>104775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4962525" y="3295650"/>
          <a:ext cx="3714750" cy="1190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 máquina</a:t>
          </a:r>
          <a:r>
            <a:rPr lang="pt-BR" sz="1100" baseline="0"/>
            <a:t> mais confiável foi inserida na manutenção preventiva, pois a sua corretiva possui um valor elevado de custo, sendo então importannte priorizá-la. "É melhor investir na D porque uma corretiva dla é muito pior que a quebra de uma das menos confiáveis".</a:t>
          </a:r>
          <a:endParaRPr lang="pt-BR" sz="1100"/>
        </a:p>
      </xdr:txBody>
    </xdr:sp>
    <xdr:clientData/>
  </xdr:twoCellAnchor>
  <xdr:twoCellAnchor>
    <xdr:from>
      <xdr:col>35</xdr:col>
      <xdr:colOff>602457</xdr:colOff>
      <xdr:row>15</xdr:row>
      <xdr:rowOff>7145</xdr:rowOff>
    </xdr:from>
    <xdr:to>
      <xdr:col>41</xdr:col>
      <xdr:colOff>578644</xdr:colOff>
      <xdr:row>19</xdr:row>
      <xdr:rowOff>95251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22319457" y="3245645"/>
          <a:ext cx="3714750" cy="8501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 modelo entende</a:t>
          </a:r>
          <a:r>
            <a:rPr lang="pt-BR" sz="1100" baseline="0"/>
            <a:t> que a manuntenção na máquina C não é necessária, pois a combinação da sua confiabilidade com os custos da manutenção indicam "valer a pena" correr o risco de manter a máquina sem manutenção preventiva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583406</xdr:colOff>
      <xdr:row>18</xdr:row>
      <xdr:rowOff>71438</xdr:rowOff>
    </xdr:from>
    <xdr:to>
      <xdr:col>19</xdr:col>
      <xdr:colOff>464344</xdr:colOff>
      <xdr:row>38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"/>
  <dimension ref="B1:S28"/>
  <sheetViews>
    <sheetView showGridLines="0" tabSelected="1" zoomScale="60" zoomScaleNormal="60" workbookViewId="0">
      <selection activeCell="G9" sqref="G9"/>
    </sheetView>
  </sheetViews>
  <sheetFormatPr defaultRowHeight="15" x14ac:dyDescent="0.25"/>
  <cols>
    <col min="2" max="19" width="17.7109375" customWidth="1"/>
  </cols>
  <sheetData>
    <row r="1" spans="2:19" ht="48.75" customHeight="1" x14ac:dyDescent="0.6">
      <c r="B1" s="235" t="s">
        <v>68</v>
      </c>
      <c r="C1" s="234"/>
      <c r="D1" s="234"/>
      <c r="E1" s="235"/>
      <c r="F1" s="235"/>
      <c r="G1" s="235"/>
      <c r="H1" s="235"/>
      <c r="I1" s="235"/>
      <c r="J1" s="235"/>
      <c r="K1" s="235"/>
      <c r="L1" s="235"/>
      <c r="M1" s="234"/>
      <c r="N1" s="234"/>
      <c r="O1" s="234"/>
      <c r="P1" s="233"/>
      <c r="Q1" s="166"/>
      <c r="R1" s="166"/>
      <c r="S1" s="166"/>
    </row>
    <row r="3" spans="2:19" ht="23.25" x14ac:dyDescent="0.35">
      <c r="B3" s="250" t="s">
        <v>112</v>
      </c>
      <c r="C3" s="249"/>
      <c r="D3" s="249"/>
      <c r="E3" s="249"/>
      <c r="F3" s="249"/>
      <c r="G3" s="249"/>
    </row>
    <row r="4" spans="2:19" ht="18.75" x14ac:dyDescent="0.3">
      <c r="B4" s="122" t="s">
        <v>88</v>
      </c>
      <c r="C4" s="123"/>
      <c r="D4" s="123"/>
      <c r="E4" s="123"/>
      <c r="F4" s="124"/>
      <c r="G4" s="139">
        <v>8000</v>
      </c>
      <c r="I4" s="141" t="s">
        <v>84</v>
      </c>
      <c r="J4" s="142"/>
      <c r="K4" s="142"/>
      <c r="L4" s="142"/>
      <c r="M4" s="143"/>
      <c r="N4" s="142"/>
      <c r="O4" s="143"/>
      <c r="R4" s="125"/>
      <c r="S4" s="125"/>
    </row>
    <row r="6" spans="2:19" ht="56.25" x14ac:dyDescent="0.25">
      <c r="D6" s="145" t="s">
        <v>38</v>
      </c>
      <c r="E6" s="145" t="s">
        <v>87</v>
      </c>
      <c r="F6" s="167" t="s">
        <v>89</v>
      </c>
      <c r="G6" s="169"/>
      <c r="J6" s="148" t="s">
        <v>90</v>
      </c>
      <c r="K6" s="149"/>
      <c r="L6" s="149"/>
      <c r="M6" s="150"/>
      <c r="N6" s="146" t="s">
        <v>91</v>
      </c>
      <c r="O6" s="146" t="s">
        <v>92</v>
      </c>
    </row>
    <row r="7" spans="2:19" ht="18" customHeight="1" x14ac:dyDescent="0.3">
      <c r="B7" s="239" t="s">
        <v>65</v>
      </c>
      <c r="C7" s="240"/>
      <c r="D7" s="65" t="s">
        <v>29</v>
      </c>
      <c r="E7" s="137">
        <v>1012</v>
      </c>
      <c r="F7" s="168">
        <v>2425</v>
      </c>
      <c r="G7" s="169"/>
      <c r="I7" s="65" t="s">
        <v>56</v>
      </c>
      <c r="J7" s="245" t="str">
        <f t="shared" ref="J7:J12" si="0">IF(B23=1,"Manutenção Preventiva","Não Priorizada")</f>
        <v>Manutenção Preventiva</v>
      </c>
      <c r="K7" s="246"/>
      <c r="L7" s="246"/>
      <c r="M7" s="247"/>
      <c r="N7" s="62">
        <f ca="1">B23*I23</f>
        <v>1815</v>
      </c>
      <c r="O7" s="62">
        <f t="shared" ref="O7:O12" ca="1" si="1">IF(N7=0,P23,P23-I23)</f>
        <v>1106.2856103446675</v>
      </c>
    </row>
    <row r="8" spans="2:19" ht="18.75" x14ac:dyDescent="0.3">
      <c r="B8" s="241"/>
      <c r="C8" s="242"/>
      <c r="D8" s="65" t="s">
        <v>30</v>
      </c>
      <c r="E8" s="137">
        <v>574</v>
      </c>
      <c r="F8" s="168">
        <v>400</v>
      </c>
      <c r="G8" s="169"/>
      <c r="I8" s="65" t="s">
        <v>57</v>
      </c>
      <c r="J8" s="245" t="str">
        <f t="shared" si="0"/>
        <v>Manutenção Preventiva</v>
      </c>
      <c r="K8" s="246"/>
      <c r="L8" s="246"/>
      <c r="M8" s="247"/>
      <c r="N8" s="62">
        <f t="shared" ref="N8:N12" ca="1" si="2">B24*I24</f>
        <v>1024</v>
      </c>
      <c r="O8" s="62">
        <f t="shared" ca="1" si="1"/>
        <v>823.5144361980756</v>
      </c>
    </row>
    <row r="9" spans="2:19" ht="18.75" x14ac:dyDescent="0.3">
      <c r="B9" s="241"/>
      <c r="C9" s="242"/>
      <c r="D9" s="65" t="s">
        <v>31</v>
      </c>
      <c r="E9" s="137">
        <v>1769</v>
      </c>
      <c r="F9" s="168">
        <v>1218</v>
      </c>
      <c r="G9" s="169"/>
      <c r="I9" s="65" t="s">
        <v>58</v>
      </c>
      <c r="J9" s="245" t="str">
        <f t="shared" si="0"/>
        <v>Não Priorizada</v>
      </c>
      <c r="K9" s="246"/>
      <c r="L9" s="246"/>
      <c r="M9" s="247"/>
      <c r="N9" s="62">
        <f t="shared" ca="1" si="2"/>
        <v>0</v>
      </c>
      <c r="O9" s="62">
        <f t="shared" ca="1" si="1"/>
        <v>3072.8622547472551</v>
      </c>
    </row>
    <row r="10" spans="2:19" ht="18.75" x14ac:dyDescent="0.3">
      <c r="B10" s="241"/>
      <c r="C10" s="242"/>
      <c r="D10" s="65" t="s">
        <v>32</v>
      </c>
      <c r="E10" s="137">
        <v>610</v>
      </c>
      <c r="F10" s="168">
        <v>478</v>
      </c>
      <c r="G10" s="169"/>
      <c r="I10" s="65" t="s">
        <v>59</v>
      </c>
      <c r="J10" s="245" t="str">
        <f t="shared" si="0"/>
        <v>Manutenção Preventiva</v>
      </c>
      <c r="K10" s="246"/>
      <c r="L10" s="246"/>
      <c r="M10" s="247"/>
      <c r="N10" s="62">
        <f t="shared" ca="1" si="2"/>
        <v>1020.6666666666666</v>
      </c>
      <c r="O10" s="62">
        <f t="shared" ca="1" si="1"/>
        <v>706.77787123343808</v>
      </c>
    </row>
    <row r="11" spans="2:19" ht="18.75" x14ac:dyDescent="0.3">
      <c r="B11" s="241"/>
      <c r="C11" s="242"/>
      <c r="D11" s="65" t="s">
        <v>33</v>
      </c>
      <c r="E11" s="137">
        <v>897</v>
      </c>
      <c r="F11" s="168">
        <v>2310</v>
      </c>
      <c r="G11" s="169"/>
      <c r="I11" s="65" t="s">
        <v>60</v>
      </c>
      <c r="J11" s="245" t="str">
        <f t="shared" si="0"/>
        <v>Manutenção Preventiva</v>
      </c>
      <c r="K11" s="246"/>
      <c r="L11" s="246"/>
      <c r="M11" s="247"/>
      <c r="N11" s="62">
        <f t="shared" ca="1" si="2"/>
        <v>1027</v>
      </c>
      <c r="O11" s="62">
        <f t="shared" ca="1" si="1"/>
        <v>944.77458585081035</v>
      </c>
    </row>
    <row r="12" spans="2:19" ht="18.75" x14ac:dyDescent="0.3">
      <c r="B12" s="243"/>
      <c r="C12" s="244"/>
      <c r="D12" s="65" t="s">
        <v>23</v>
      </c>
      <c r="E12" s="137">
        <v>2517</v>
      </c>
      <c r="F12" s="168">
        <v>2727</v>
      </c>
      <c r="G12" s="169"/>
      <c r="I12" s="65" t="s">
        <v>61</v>
      </c>
      <c r="J12" s="245" t="str">
        <f t="shared" si="0"/>
        <v>Manutenção Preventiva</v>
      </c>
      <c r="K12" s="246"/>
      <c r="L12" s="246"/>
      <c r="M12" s="247"/>
      <c r="N12" s="46">
        <f t="shared" ca="1" si="2"/>
        <v>2601.65</v>
      </c>
      <c r="O12" s="46">
        <f t="shared" ca="1" si="1"/>
        <v>1967.8271397481053</v>
      </c>
    </row>
    <row r="13" spans="2:19" ht="18.75" x14ac:dyDescent="0.3">
      <c r="N13" s="47"/>
      <c r="O13" s="47"/>
    </row>
    <row r="14" spans="2:19" ht="18.75" customHeight="1" x14ac:dyDescent="0.3">
      <c r="B14" s="136" t="s">
        <v>82</v>
      </c>
      <c r="C14" s="136"/>
      <c r="D14" s="136"/>
      <c r="E14" s="137">
        <v>60</v>
      </c>
      <c r="I14" s="122" t="s">
        <v>62</v>
      </c>
      <c r="J14" s="123"/>
      <c r="K14" s="124"/>
      <c r="L14" s="62">
        <f ca="1">SUM(P23:P28)</f>
        <v>16110.358564789018</v>
      </c>
    </row>
    <row r="15" spans="2:19" ht="18.75" customHeight="1" x14ac:dyDescent="0.3">
      <c r="B15" s="136" t="s">
        <v>83</v>
      </c>
      <c r="C15" s="136"/>
      <c r="D15" s="136"/>
      <c r="E15" s="138">
        <v>0.7</v>
      </c>
      <c r="I15" s="122" t="s">
        <v>63</v>
      </c>
      <c r="J15" s="123"/>
      <c r="K15" s="124"/>
      <c r="L15" s="62">
        <f ca="1">B23*I23+B24*I24+B25*I25+B26*I26+B27*I27+B28*I28</f>
        <v>7488.3166666666657</v>
      </c>
      <c r="M15" s="63">
        <f ca="1">L15/L14</f>
        <v>0.46481378031108606</v>
      </c>
      <c r="O15" s="151"/>
    </row>
    <row r="16" spans="2:19" ht="18.75" customHeight="1" x14ac:dyDescent="0.3">
      <c r="I16" s="122" t="s">
        <v>64</v>
      </c>
      <c r="J16" s="123"/>
      <c r="K16" s="124"/>
      <c r="L16" s="62">
        <f ca="1">L14-L15</f>
        <v>8622.041898122352</v>
      </c>
      <c r="M16" s="63">
        <f ca="1">L16/L14</f>
        <v>0.535186219688914</v>
      </c>
    </row>
    <row r="17" spans="2:16" ht="18.75" customHeight="1" x14ac:dyDescent="0.25"/>
    <row r="20" spans="2:16" ht="56.25" x14ac:dyDescent="0.25">
      <c r="B20" s="61" t="s">
        <v>51</v>
      </c>
      <c r="C20" s="118" t="s">
        <v>52</v>
      </c>
      <c r="D20" s="119"/>
      <c r="E20" s="119"/>
      <c r="F20" s="119"/>
      <c r="G20" s="119"/>
      <c r="H20" s="120"/>
      <c r="I20" s="61" t="s">
        <v>55</v>
      </c>
      <c r="J20" s="116" t="s">
        <v>53</v>
      </c>
      <c r="K20" s="121"/>
      <c r="L20" s="121"/>
      <c r="M20" s="121"/>
      <c r="N20" s="121"/>
      <c r="O20" s="117"/>
      <c r="P20" s="61" t="s">
        <v>66</v>
      </c>
    </row>
    <row r="22" spans="2:16" x14ac:dyDescent="0.25">
      <c r="B22" s="40" t="s">
        <v>85</v>
      </c>
      <c r="C22" s="41" t="s">
        <v>39</v>
      </c>
      <c r="D22" s="41" t="s">
        <v>40</v>
      </c>
      <c r="E22" s="41" t="s">
        <v>41</v>
      </c>
      <c r="F22" s="41" t="s">
        <v>42</v>
      </c>
      <c r="G22" s="41" t="s">
        <v>43</v>
      </c>
      <c r="H22" s="41" t="s">
        <v>44</v>
      </c>
      <c r="I22" s="41" t="s">
        <v>54</v>
      </c>
      <c r="J22" s="41" t="s">
        <v>45</v>
      </c>
      <c r="K22" s="41" t="s">
        <v>46</v>
      </c>
      <c r="L22" s="41" t="s">
        <v>47</v>
      </c>
      <c r="M22" s="41" t="s">
        <v>48</v>
      </c>
      <c r="N22" s="41" t="s">
        <v>49</v>
      </c>
      <c r="O22" s="41" t="s">
        <v>50</v>
      </c>
      <c r="P22" s="42" t="s">
        <v>67</v>
      </c>
    </row>
    <row r="23" spans="2:16" ht="18.75" x14ac:dyDescent="0.3">
      <c r="B23" s="152">
        <v>1</v>
      </c>
      <c r="C23" s="43">
        <f>EXP(-((E7/'Resumo Confiabilidade'!$C$5)^'Resumo Confiabilidade'!$C$4))</f>
        <v>0.15460369070405974</v>
      </c>
      <c r="D23" s="43">
        <v>0</v>
      </c>
      <c r="E23" s="43">
        <f ca="1">(1-C23)*'Análises Quantitativas de Falha'!K15</f>
        <v>0.62292359632332439</v>
      </c>
      <c r="F23" s="44">
        <f t="shared" ref="F23:F28" si="3">(1-C23)*(1-$E$15)</f>
        <v>0.25361889278878208</v>
      </c>
      <c r="G23" s="45">
        <v>0</v>
      </c>
      <c r="H23" s="43">
        <f>1-F23-G23</f>
        <v>0.74638110721121786</v>
      </c>
      <c r="I23" s="46">
        <f ca="1">Custos!F15</f>
        <v>1815</v>
      </c>
      <c r="J23" s="66">
        <v>0</v>
      </c>
      <c r="K23" s="46">
        <f ca="1">Custos!G15</f>
        <v>4362</v>
      </c>
      <c r="L23" s="47">
        <f ca="1">Custos!H15</f>
        <v>8958.5297619047615</v>
      </c>
      <c r="M23" s="133">
        <f ca="1">Custos!G15</f>
        <v>4362</v>
      </c>
      <c r="N23" s="130">
        <f ca="1">Custos!H15</f>
        <v>8958.5297619047615</v>
      </c>
      <c r="O23" s="48">
        <v>0</v>
      </c>
      <c r="P23" s="46">
        <f t="shared" ref="P23:P28" ca="1" si="4">(1-B23)*(C23*J23+D23*K23+E23*L23)+B23*(I23+F23*M23+G23*N23+H23*O23)</f>
        <v>2921.2856103446675</v>
      </c>
    </row>
    <row r="24" spans="2:16" ht="18.75" x14ac:dyDescent="0.3">
      <c r="B24" s="153">
        <v>1</v>
      </c>
      <c r="C24" s="49">
        <f>EXP(-((E8/'Resumo Confiabilidade'!$D$5)^'Resumo Confiabilidade'!$D$4))</f>
        <v>0.46469420423942059</v>
      </c>
      <c r="D24" s="49">
        <v>0</v>
      </c>
      <c r="E24" s="49">
        <f ca="1">(1-C24)*'Análises Quantitativas de Falha'!K16</f>
        <v>0.34412515441751529</v>
      </c>
      <c r="F24" s="50">
        <f t="shared" si="3"/>
        <v>0.16059173872817384</v>
      </c>
      <c r="G24" s="51">
        <v>0</v>
      </c>
      <c r="H24" s="49">
        <f t="shared" ref="H24:H28" si="5">1-F24-G24</f>
        <v>0.83940826127182611</v>
      </c>
      <c r="I24" s="52">
        <f ca="1">Custos!F16</f>
        <v>1024</v>
      </c>
      <c r="J24" s="67">
        <v>0</v>
      </c>
      <c r="K24" s="52">
        <f ca="1">Custos!G16</f>
        <v>5128</v>
      </c>
      <c r="L24" s="53">
        <f ca="1">Custos!H16</f>
        <v>5478.0740740740739</v>
      </c>
      <c r="M24" s="134">
        <f ca="1">Custos!G16</f>
        <v>5128</v>
      </c>
      <c r="N24" s="131">
        <f ca="1">Custos!H16</f>
        <v>5478.0740740740739</v>
      </c>
      <c r="O24" s="54">
        <v>0</v>
      </c>
      <c r="P24" s="52">
        <f t="shared" ca="1" si="4"/>
        <v>1847.5144361980756</v>
      </c>
    </row>
    <row r="25" spans="2:16" ht="18.75" x14ac:dyDescent="0.3">
      <c r="B25" s="153">
        <v>0</v>
      </c>
      <c r="C25" s="49">
        <f>EXP(-((E9/'Resumo Confiabilidade'!$E$5)^'Resumo Confiabilidade'!$E$4))</f>
        <v>0.32389442988606876</v>
      </c>
      <c r="D25" s="49">
        <v>0</v>
      </c>
      <c r="E25" s="49">
        <f ca="1">(1-C25)*'Análises Quantitativas de Falha'!K17</f>
        <v>0.30049136449508052</v>
      </c>
      <c r="F25" s="50">
        <f t="shared" si="3"/>
        <v>0.2028316710341794</v>
      </c>
      <c r="G25" s="51">
        <v>0</v>
      </c>
      <c r="H25" s="49">
        <f t="shared" si="5"/>
        <v>0.79716832896582057</v>
      </c>
      <c r="I25" s="52">
        <f ca="1">Custos!F17</f>
        <v>1641.7</v>
      </c>
      <c r="J25" s="67">
        <v>0</v>
      </c>
      <c r="K25" s="52">
        <f ca="1">Custos!G17</f>
        <v>5460.7</v>
      </c>
      <c r="L25" s="53">
        <f ca="1">Custos!H17</f>
        <v>10226.125</v>
      </c>
      <c r="M25" s="134">
        <f ca="1">Custos!G17</f>
        <v>5460.7</v>
      </c>
      <c r="N25" s="131">
        <f ca="1">Custos!H17</f>
        <v>10226.125</v>
      </c>
      <c r="O25" s="54">
        <v>0</v>
      </c>
      <c r="P25" s="52">
        <f t="shared" ca="1" si="4"/>
        <v>3072.8622547472551</v>
      </c>
    </row>
    <row r="26" spans="2:16" ht="18.75" customHeight="1" x14ac:dyDescent="0.3">
      <c r="B26" s="153">
        <v>1</v>
      </c>
      <c r="C26" s="49">
        <f>EXP(-((E10/'Resumo Confiabilidade'!$F$5)^'Resumo Confiabilidade'!$F$4))</f>
        <v>0.59739226930593115</v>
      </c>
      <c r="D26" s="49">
        <v>0</v>
      </c>
      <c r="E26" s="49">
        <f ca="1">(1-C26)*'Análises Quantitativas de Falha'!K18</f>
        <v>0.33550644224505738</v>
      </c>
      <c r="F26" s="50">
        <f t="shared" si="3"/>
        <v>0.12078231920822068</v>
      </c>
      <c r="G26" s="51">
        <v>0</v>
      </c>
      <c r="H26" s="49">
        <f t="shared" si="5"/>
        <v>0.87921768079177931</v>
      </c>
      <c r="I26" s="52">
        <f ca="1">Custos!F18</f>
        <v>1020.6666666666666</v>
      </c>
      <c r="J26" s="67">
        <v>0</v>
      </c>
      <c r="K26" s="52">
        <f ca="1">Custos!G18</f>
        <v>5851.666666666667</v>
      </c>
      <c r="L26" s="53">
        <f ca="1">Custos!H18</f>
        <v>7484.8333333333339</v>
      </c>
      <c r="M26" s="134">
        <f ca="1">Custos!G18</f>
        <v>5851.666666666667</v>
      </c>
      <c r="N26" s="131">
        <f ca="1">Custos!H18</f>
        <v>7484.8333333333339</v>
      </c>
      <c r="O26" s="54">
        <v>0</v>
      </c>
      <c r="P26" s="52">
        <f t="shared" ca="1" si="4"/>
        <v>1727.4445379001047</v>
      </c>
    </row>
    <row r="27" spans="2:16" ht="18.75" x14ac:dyDescent="0.3">
      <c r="B27" s="153">
        <v>1</v>
      </c>
      <c r="C27" s="49">
        <f>EXP(-((E11/'Resumo Confiabilidade'!$G$5)^'Resumo Confiabilidade'!$G$4))</f>
        <v>0.2978263947597099</v>
      </c>
      <c r="D27" s="49">
        <v>0</v>
      </c>
      <c r="E27" s="49">
        <f ca="1">(1-C27)*'Análises Quantitativas de Falha'!K19</f>
        <v>0.64816025099103702</v>
      </c>
      <c r="F27" s="50">
        <f t="shared" si="3"/>
        <v>0.21065208157208704</v>
      </c>
      <c r="G27" s="51">
        <v>0</v>
      </c>
      <c r="H27" s="49">
        <f t="shared" si="5"/>
        <v>0.78934791842791296</v>
      </c>
      <c r="I27" s="52">
        <f ca="1">Custos!F19</f>
        <v>1027</v>
      </c>
      <c r="J27" s="67">
        <v>0</v>
      </c>
      <c r="K27" s="52">
        <f ca="1">Custos!G19</f>
        <v>4485</v>
      </c>
      <c r="L27" s="53">
        <f ca="1">Custos!H19</f>
        <v>8659.0416666666679</v>
      </c>
      <c r="M27" s="134">
        <f ca="1">Custos!G19</f>
        <v>4485</v>
      </c>
      <c r="N27" s="131">
        <f ca="1">Custos!H19</f>
        <v>8659.0416666666679</v>
      </c>
      <c r="O27" s="54">
        <v>0</v>
      </c>
      <c r="P27" s="52">
        <f t="shared" ca="1" si="4"/>
        <v>1971.7745858508104</v>
      </c>
    </row>
    <row r="28" spans="2:16" ht="18.75" x14ac:dyDescent="0.3">
      <c r="B28" s="154">
        <v>1</v>
      </c>
      <c r="C28" s="55">
        <f>EXP(-((E12/'Resumo Confiabilidade'!$H$5)^'Resumo Confiabilidade'!$H$4))</f>
        <v>0.19847209996024395</v>
      </c>
      <c r="D28" s="55">
        <v>0</v>
      </c>
      <c r="E28" s="55">
        <f ca="1">(1-C28)*'Análises Quantitativas de Falha'!K20</f>
        <v>0.45801594287986058</v>
      </c>
      <c r="F28" s="56">
        <f t="shared" si="3"/>
        <v>0.24045837001192685</v>
      </c>
      <c r="G28" s="57">
        <v>0</v>
      </c>
      <c r="H28" s="55">
        <f t="shared" si="5"/>
        <v>0.75954162998807317</v>
      </c>
      <c r="I28" s="58">
        <f ca="1">Custos!F20</f>
        <v>2601.65</v>
      </c>
      <c r="J28" s="68">
        <v>0</v>
      </c>
      <c r="K28" s="58">
        <f ca="1">Custos!G20</f>
        <v>8183.65</v>
      </c>
      <c r="L28" s="59">
        <f ca="1">Custos!H20</f>
        <v>13876.262500000001</v>
      </c>
      <c r="M28" s="135">
        <f ca="1">Custos!G20</f>
        <v>8183.65</v>
      </c>
      <c r="N28" s="132">
        <f ca="1">Custos!H20</f>
        <v>13876.262500000001</v>
      </c>
      <c r="O28" s="60">
        <v>0</v>
      </c>
      <c r="P28" s="58">
        <f t="shared" ca="1" si="4"/>
        <v>4569.4771397481054</v>
      </c>
    </row>
  </sheetData>
  <mergeCells count="7">
    <mergeCell ref="B7:C12"/>
    <mergeCell ref="J7:M7"/>
    <mergeCell ref="J8:M8"/>
    <mergeCell ref="J9:M9"/>
    <mergeCell ref="J10:M10"/>
    <mergeCell ref="J11:M11"/>
    <mergeCell ref="J12:M12"/>
  </mergeCells>
  <conditionalFormatting sqref="B23:B28">
    <cfRule type="cellIs" dxfId="1" priority="2" operator="equal">
      <formula>1</formula>
    </cfRule>
  </conditionalFormatting>
  <conditionalFormatting sqref="J7:J12">
    <cfRule type="containsText" dxfId="0" priority="1" operator="containsText" text="Manutenção Preventiva">
      <formula>NOT(ISERROR(SEARCH("Manutenção Preventiva",J7)))</formula>
    </cfRule>
  </conditionalFormatting>
  <dataValidations count="2">
    <dataValidation type="decimal" allowBlank="1" showInputMessage="1" showErrorMessage="1" error="Porcentagem Inválida" sqref="E15" xr:uid="{00000000-0002-0000-0C00-000000000000}">
      <formula1>0</formula1>
      <formula2>1</formula2>
    </dataValidation>
    <dataValidation type="whole" operator="greaterThanOrEqual" allowBlank="1" showInputMessage="1" showErrorMessage="1" errorTitle="Erro" sqref="E14" xr:uid="{00000000-0002-0000-0C00-000001000000}">
      <formula1>0</formula1>
    </dataValidation>
  </dataValidations>
  <pageMargins left="0.511811024" right="0.511811024" top="0.78740157499999996" bottom="0.78740157499999996" header="0.31496062000000002" footer="0.31496062000000002"/>
  <ignoredErrors>
    <ignoredError sqref="L23:L28 M23:M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solver">
                <anchor moveWithCells="1" sizeWithCells="1">
                  <from>
                    <xdr:col>5</xdr:col>
                    <xdr:colOff>133350</xdr:colOff>
                    <xdr:row>12</xdr:row>
                    <xdr:rowOff>171450</xdr:rowOff>
                  </from>
                  <to>
                    <xdr:col>6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6:U35"/>
  <sheetViews>
    <sheetView showGridLines="0" topLeftCell="A7" zoomScale="80" zoomScaleNormal="80" workbookViewId="0">
      <selection activeCell="F21" sqref="F21"/>
    </sheetView>
  </sheetViews>
  <sheetFormatPr defaultRowHeight="15" x14ac:dyDescent="0.25"/>
  <cols>
    <col min="2" max="2" width="13" customWidth="1"/>
    <col min="3" max="14" width="14" customWidth="1"/>
    <col min="15" max="15" width="11.42578125" bestFit="1" customWidth="1"/>
    <col min="16" max="16" width="12.85546875" bestFit="1" customWidth="1"/>
    <col min="17" max="17" width="26.28515625" bestFit="1" customWidth="1"/>
    <col min="18" max="18" width="19.85546875" customWidth="1"/>
    <col min="19" max="20" width="17.5703125" customWidth="1"/>
    <col min="21" max="21" width="16.28515625" customWidth="1"/>
  </cols>
  <sheetData>
    <row r="6" spans="2:21" ht="48" customHeight="1" x14ac:dyDescent="0.25">
      <c r="B6" s="207" t="s">
        <v>16</v>
      </c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8"/>
      <c r="N6" s="208"/>
      <c r="P6" s="39"/>
    </row>
    <row r="7" spans="2:21" x14ac:dyDescent="0.25">
      <c r="B7" s="209"/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</row>
    <row r="8" spans="2:21" x14ac:dyDescent="0.25">
      <c r="B8" s="209"/>
      <c r="C8" s="210" t="s">
        <v>0</v>
      </c>
      <c r="D8" s="210"/>
      <c r="E8" s="210" t="s">
        <v>3</v>
      </c>
      <c r="F8" s="210"/>
      <c r="G8" s="210" t="s">
        <v>4</v>
      </c>
      <c r="H8" s="210"/>
      <c r="I8" s="210" t="s">
        <v>5</v>
      </c>
      <c r="J8" s="210"/>
      <c r="K8" s="210" t="s">
        <v>6</v>
      </c>
      <c r="L8" s="210"/>
      <c r="M8" s="210" t="s">
        <v>69</v>
      </c>
      <c r="N8" s="210"/>
      <c r="P8" s="237"/>
      <c r="Q8" s="237"/>
      <c r="R8" s="15"/>
    </row>
    <row r="9" spans="2:21" x14ac:dyDescent="0.25">
      <c r="P9" s="64"/>
      <c r="Q9" s="64"/>
      <c r="R9" s="95"/>
    </row>
    <row r="10" spans="2:21" s="70" customFormat="1" ht="30" x14ac:dyDescent="0.25">
      <c r="B10" s="198" t="s">
        <v>1</v>
      </c>
      <c r="C10" s="199" t="s">
        <v>2</v>
      </c>
      <c r="D10" s="199" t="s">
        <v>8</v>
      </c>
      <c r="E10" s="199" t="s">
        <v>2</v>
      </c>
      <c r="F10" s="199" t="s">
        <v>8</v>
      </c>
      <c r="G10" s="199" t="s">
        <v>2</v>
      </c>
      <c r="H10" s="199" t="s">
        <v>8</v>
      </c>
      <c r="I10" s="199" t="s">
        <v>2</v>
      </c>
      <c r="J10" s="199" t="s">
        <v>8</v>
      </c>
      <c r="K10" s="199" t="s">
        <v>2</v>
      </c>
      <c r="L10" s="199" t="s">
        <v>27</v>
      </c>
      <c r="M10" s="199" t="s">
        <v>2</v>
      </c>
      <c r="N10" s="199" t="s">
        <v>27</v>
      </c>
    </row>
    <row r="11" spans="2:21" x14ac:dyDescent="0.25">
      <c r="B11" s="225">
        <v>1</v>
      </c>
      <c r="C11" s="211">
        <v>270</v>
      </c>
      <c r="D11" s="214">
        <v>60</v>
      </c>
      <c r="E11" s="212">
        <v>1065</v>
      </c>
      <c r="F11" s="213">
        <v>90</v>
      </c>
      <c r="G11" s="212">
        <v>2060</v>
      </c>
      <c r="H11" s="213">
        <v>90</v>
      </c>
      <c r="I11" s="212">
        <v>555</v>
      </c>
      <c r="J11" s="214">
        <v>180</v>
      </c>
      <c r="K11" s="212">
        <v>465</v>
      </c>
      <c r="L11" s="214">
        <v>90</v>
      </c>
      <c r="M11" s="215">
        <v>620</v>
      </c>
      <c r="N11" s="80">
        <v>222</v>
      </c>
      <c r="P11" s="95"/>
      <c r="Q11" s="95"/>
      <c r="R11" s="95"/>
      <c r="S11" s="95"/>
      <c r="T11" s="95"/>
      <c r="U11" s="95"/>
    </row>
    <row r="12" spans="2:21" x14ac:dyDescent="0.25">
      <c r="B12" s="225">
        <v>2</v>
      </c>
      <c r="C12" s="216">
        <v>885</v>
      </c>
      <c r="D12" s="213">
        <v>150</v>
      </c>
      <c r="E12" s="217">
        <v>2955</v>
      </c>
      <c r="F12" s="213">
        <v>80</v>
      </c>
      <c r="G12" s="217">
        <v>1980</v>
      </c>
      <c r="H12" s="213">
        <v>40</v>
      </c>
      <c r="I12" s="217">
        <v>3610</v>
      </c>
      <c r="J12" s="213">
        <v>90</v>
      </c>
      <c r="K12" s="217">
        <v>3095</v>
      </c>
      <c r="L12" s="213">
        <v>60</v>
      </c>
      <c r="M12" s="218">
        <v>375</v>
      </c>
      <c r="N12" s="79">
        <v>70</v>
      </c>
      <c r="P12" s="95"/>
      <c r="Q12" s="95"/>
      <c r="R12" s="236"/>
      <c r="S12" s="236"/>
      <c r="T12" s="236"/>
      <c r="U12" s="236"/>
    </row>
    <row r="13" spans="2:21" x14ac:dyDescent="0.25">
      <c r="B13" s="225">
        <v>3</v>
      </c>
      <c r="C13" s="216">
        <v>205</v>
      </c>
      <c r="D13" s="213">
        <v>82</v>
      </c>
      <c r="E13" s="217">
        <v>95</v>
      </c>
      <c r="F13" s="213">
        <v>145</v>
      </c>
      <c r="G13" s="217">
        <v>715</v>
      </c>
      <c r="H13" s="213">
        <v>50</v>
      </c>
      <c r="I13" s="217">
        <v>2520</v>
      </c>
      <c r="J13" s="213">
        <v>10</v>
      </c>
      <c r="K13" s="217">
        <v>315</v>
      </c>
      <c r="L13" s="213">
        <v>10</v>
      </c>
      <c r="M13" s="218">
        <v>1075</v>
      </c>
      <c r="N13" s="79">
        <v>30</v>
      </c>
      <c r="P13" s="95"/>
      <c r="Q13" s="91"/>
      <c r="R13" s="91"/>
      <c r="S13" s="91"/>
      <c r="T13" s="91"/>
      <c r="U13" s="91"/>
    </row>
    <row r="14" spans="2:21" x14ac:dyDescent="0.25">
      <c r="B14" s="225">
        <v>4</v>
      </c>
      <c r="C14" s="216">
        <v>60</v>
      </c>
      <c r="D14" s="213">
        <v>175</v>
      </c>
      <c r="E14" s="217">
        <v>65</v>
      </c>
      <c r="F14" s="213">
        <v>50</v>
      </c>
      <c r="G14" s="217">
        <v>2905</v>
      </c>
      <c r="H14" s="213">
        <v>405</v>
      </c>
      <c r="I14" s="217">
        <v>1065</v>
      </c>
      <c r="J14" s="213">
        <v>85</v>
      </c>
      <c r="K14" s="217">
        <v>810</v>
      </c>
      <c r="L14" s="213">
        <v>60</v>
      </c>
      <c r="M14" s="218">
        <v>140</v>
      </c>
      <c r="N14" s="79">
        <v>55</v>
      </c>
      <c r="P14" s="91"/>
      <c r="Q14" s="91"/>
      <c r="R14" s="91"/>
      <c r="S14" s="126"/>
      <c r="T14" s="127"/>
      <c r="U14" s="127"/>
    </row>
    <row r="15" spans="2:21" x14ac:dyDescent="0.25">
      <c r="B15" s="225">
        <v>5</v>
      </c>
      <c r="C15" s="216">
        <v>275</v>
      </c>
      <c r="D15" s="213">
        <v>160</v>
      </c>
      <c r="E15" s="217">
        <v>1615</v>
      </c>
      <c r="F15" s="213">
        <v>140</v>
      </c>
      <c r="G15" s="217">
        <v>2070</v>
      </c>
      <c r="H15" s="213">
        <v>405</v>
      </c>
      <c r="I15" s="217">
        <v>60</v>
      </c>
      <c r="J15" s="213">
        <v>540</v>
      </c>
      <c r="K15" s="217">
        <v>60</v>
      </c>
      <c r="L15" s="213">
        <v>315</v>
      </c>
      <c r="M15" s="218">
        <v>2160</v>
      </c>
      <c r="N15" s="79">
        <v>70</v>
      </c>
      <c r="O15" s="7"/>
      <c r="P15" s="91"/>
      <c r="Q15" s="91"/>
      <c r="R15" s="91"/>
      <c r="S15" s="126"/>
      <c r="T15" s="127"/>
      <c r="U15" s="127"/>
    </row>
    <row r="16" spans="2:21" x14ac:dyDescent="0.25">
      <c r="B16" s="225">
        <v>6</v>
      </c>
      <c r="C16" s="216">
        <v>115</v>
      </c>
      <c r="D16" s="213">
        <v>140</v>
      </c>
      <c r="E16" s="217">
        <v>267</v>
      </c>
      <c r="F16" s="213">
        <v>80</v>
      </c>
      <c r="G16" s="217">
        <v>30</v>
      </c>
      <c r="H16" s="213">
        <v>195</v>
      </c>
      <c r="I16" s="217">
        <v>630</v>
      </c>
      <c r="J16" s="213">
        <v>180</v>
      </c>
      <c r="K16" s="217">
        <v>720</v>
      </c>
      <c r="L16" s="213">
        <v>60</v>
      </c>
      <c r="M16" s="218">
        <v>5639</v>
      </c>
      <c r="N16" s="79">
        <v>26</v>
      </c>
      <c r="O16" s="1"/>
      <c r="P16" s="91"/>
      <c r="Q16" s="91"/>
      <c r="R16" s="91"/>
      <c r="S16" s="126"/>
      <c r="T16" s="127"/>
      <c r="U16" s="127"/>
    </row>
    <row r="17" spans="2:21" x14ac:dyDescent="0.25">
      <c r="B17" s="225">
        <v>7</v>
      </c>
      <c r="C17" s="216">
        <v>560</v>
      </c>
      <c r="D17" s="213">
        <v>125</v>
      </c>
      <c r="E17" s="217">
        <v>570</v>
      </c>
      <c r="F17" s="213">
        <v>28</v>
      </c>
      <c r="G17" s="217">
        <v>660</v>
      </c>
      <c r="H17" s="213">
        <v>30</v>
      </c>
      <c r="I17" s="219"/>
      <c r="J17" s="213"/>
      <c r="K17" s="213">
        <v>775</v>
      </c>
      <c r="L17" s="213">
        <v>180</v>
      </c>
      <c r="M17" s="218">
        <v>60</v>
      </c>
      <c r="N17" s="79">
        <v>287</v>
      </c>
      <c r="O17" s="1"/>
      <c r="P17" s="91"/>
      <c r="Q17" s="91"/>
      <c r="R17" s="91"/>
      <c r="S17" s="126"/>
      <c r="T17" s="127"/>
      <c r="U17" s="127"/>
    </row>
    <row r="18" spans="2:21" x14ac:dyDescent="0.25">
      <c r="B18" s="225">
        <v>8</v>
      </c>
      <c r="C18" s="216">
        <v>95</v>
      </c>
      <c r="D18" s="213">
        <v>110</v>
      </c>
      <c r="E18" s="217">
        <v>1230</v>
      </c>
      <c r="F18" s="213">
        <v>60</v>
      </c>
      <c r="G18" s="217">
        <v>795</v>
      </c>
      <c r="H18" s="213">
        <v>30</v>
      </c>
      <c r="I18" s="213"/>
      <c r="J18" s="213"/>
      <c r="K18" s="213">
        <v>380</v>
      </c>
      <c r="L18" s="213">
        <v>100</v>
      </c>
      <c r="M18" s="218"/>
      <c r="N18" s="79"/>
      <c r="O18" s="1"/>
      <c r="P18" s="196"/>
      <c r="Q18" s="91"/>
      <c r="R18" s="91"/>
      <c r="S18" s="126"/>
      <c r="T18" s="127"/>
      <c r="U18" s="127"/>
    </row>
    <row r="19" spans="2:21" x14ac:dyDescent="0.25">
      <c r="B19" s="225">
        <v>9</v>
      </c>
      <c r="C19" s="216">
        <v>300</v>
      </c>
      <c r="D19" s="220">
        <v>25</v>
      </c>
      <c r="E19" s="217">
        <v>165</v>
      </c>
      <c r="F19" s="220">
        <v>60</v>
      </c>
      <c r="G19" s="213">
        <v>254</v>
      </c>
      <c r="H19" s="220">
        <v>45</v>
      </c>
      <c r="I19" s="213"/>
      <c r="J19" s="213"/>
      <c r="K19" s="213">
        <v>35</v>
      </c>
      <c r="L19" s="213">
        <v>100</v>
      </c>
      <c r="M19" s="218"/>
      <c r="N19" s="79"/>
      <c r="O19" s="1"/>
      <c r="P19" s="127"/>
      <c r="Q19" s="227"/>
      <c r="R19" s="91"/>
      <c r="S19" s="126"/>
      <c r="T19" s="127"/>
      <c r="U19" s="127"/>
    </row>
    <row r="20" spans="2:21" x14ac:dyDescent="0.25">
      <c r="B20" s="225">
        <v>10</v>
      </c>
      <c r="C20" s="216">
        <v>485</v>
      </c>
      <c r="D20" s="213">
        <v>105</v>
      </c>
      <c r="E20" s="217">
        <v>195</v>
      </c>
      <c r="F20" s="213">
        <v>30</v>
      </c>
      <c r="G20" s="213"/>
      <c r="H20" s="219"/>
      <c r="I20" s="213"/>
      <c r="J20" s="213"/>
      <c r="K20" s="213">
        <v>135</v>
      </c>
      <c r="L20" s="213">
        <v>111</v>
      </c>
      <c r="M20" s="218"/>
      <c r="N20" s="79"/>
      <c r="O20" s="1"/>
      <c r="P20" s="95"/>
      <c r="Q20" s="227"/>
      <c r="R20" s="95"/>
      <c r="S20" s="95"/>
      <c r="T20" s="95"/>
      <c r="U20" s="95"/>
    </row>
    <row r="21" spans="2:21" x14ac:dyDescent="0.25">
      <c r="B21" s="225">
        <v>11</v>
      </c>
      <c r="C21" s="216">
        <v>1185</v>
      </c>
      <c r="D21" s="213">
        <v>60</v>
      </c>
      <c r="E21" s="217">
        <v>435</v>
      </c>
      <c r="F21" s="213">
        <v>30</v>
      </c>
      <c r="G21" s="213"/>
      <c r="H21" s="219"/>
      <c r="I21" s="213"/>
      <c r="J21" s="213"/>
      <c r="K21" s="213">
        <v>1260</v>
      </c>
      <c r="L21" s="213">
        <v>65</v>
      </c>
      <c r="M21" s="218"/>
      <c r="N21" s="79"/>
      <c r="O21" s="1"/>
      <c r="P21" s="95"/>
      <c r="Q21" s="227"/>
      <c r="R21" s="95"/>
      <c r="S21" s="95"/>
      <c r="T21" s="95"/>
      <c r="U21" s="95"/>
    </row>
    <row r="22" spans="2:21" x14ac:dyDescent="0.25">
      <c r="B22" s="225">
        <v>12</v>
      </c>
      <c r="C22" s="216">
        <v>1020</v>
      </c>
      <c r="D22" s="213">
        <v>130</v>
      </c>
      <c r="E22" s="217">
        <v>435</v>
      </c>
      <c r="F22" s="213">
        <v>30</v>
      </c>
      <c r="G22" s="213"/>
      <c r="H22" s="219"/>
      <c r="I22" s="213"/>
      <c r="J22" s="213"/>
      <c r="K22" s="213">
        <v>645</v>
      </c>
      <c r="L22" s="213">
        <v>170</v>
      </c>
      <c r="M22" s="218"/>
      <c r="N22" s="79"/>
      <c r="O22" s="1"/>
      <c r="P22" s="95"/>
      <c r="Q22" s="227"/>
      <c r="R22" s="236"/>
      <c r="S22" s="236"/>
      <c r="T22" s="95"/>
      <c r="U22" s="95"/>
    </row>
    <row r="23" spans="2:21" x14ac:dyDescent="0.25">
      <c r="B23" s="225">
        <v>13</v>
      </c>
      <c r="C23" s="216">
        <v>670</v>
      </c>
      <c r="D23" s="213">
        <v>40</v>
      </c>
      <c r="E23" s="217">
        <v>795</v>
      </c>
      <c r="F23" s="213">
        <v>60</v>
      </c>
      <c r="G23" s="213"/>
      <c r="H23" s="219"/>
      <c r="I23" s="213"/>
      <c r="J23" s="213"/>
      <c r="K23" s="213">
        <v>465</v>
      </c>
      <c r="L23" s="213">
        <v>110</v>
      </c>
      <c r="M23" s="218"/>
      <c r="N23" s="79"/>
      <c r="O23" s="1"/>
      <c r="P23" s="95"/>
      <c r="Q23" s="227"/>
      <c r="R23" s="91"/>
      <c r="S23" s="91"/>
      <c r="T23" s="95"/>
      <c r="U23" s="95"/>
    </row>
    <row r="24" spans="2:21" x14ac:dyDescent="0.25">
      <c r="B24" s="225">
        <v>14</v>
      </c>
      <c r="C24" s="216">
        <v>1320</v>
      </c>
      <c r="D24" s="213">
        <v>21</v>
      </c>
      <c r="E24" s="217">
        <v>390</v>
      </c>
      <c r="F24" s="213">
        <v>60</v>
      </c>
      <c r="G24" s="213"/>
      <c r="H24" s="219"/>
      <c r="I24" s="213"/>
      <c r="J24" s="213"/>
      <c r="K24" s="213"/>
      <c r="L24" s="213"/>
      <c r="M24" s="218"/>
      <c r="N24" s="79"/>
      <c r="O24" s="1"/>
      <c r="P24" s="196"/>
      <c r="Q24" s="227"/>
      <c r="R24" s="126"/>
      <c r="S24" s="126"/>
      <c r="T24" s="95"/>
      <c r="U24" s="95"/>
    </row>
    <row r="25" spans="2:21" x14ac:dyDescent="0.25">
      <c r="B25" s="225">
        <v>15</v>
      </c>
      <c r="C25" s="216">
        <v>299</v>
      </c>
      <c r="D25" s="213">
        <v>40</v>
      </c>
      <c r="E25" s="213"/>
      <c r="F25" s="213"/>
      <c r="G25" s="213"/>
      <c r="H25" s="219"/>
      <c r="I25" s="213"/>
      <c r="J25" s="213"/>
      <c r="K25" s="213"/>
      <c r="L25" s="213"/>
      <c r="M25" s="218"/>
      <c r="N25" s="79"/>
      <c r="O25" s="1"/>
      <c r="P25" s="196"/>
      <c r="Q25" s="227"/>
      <c r="R25" s="126"/>
      <c r="S25" s="126"/>
      <c r="T25" s="95"/>
      <c r="U25" s="95"/>
    </row>
    <row r="26" spans="2:21" x14ac:dyDescent="0.25">
      <c r="B26" s="225">
        <v>16</v>
      </c>
      <c r="C26" s="216">
        <v>165</v>
      </c>
      <c r="D26" s="213">
        <v>167</v>
      </c>
      <c r="E26" s="213"/>
      <c r="F26" s="213"/>
      <c r="G26" s="213"/>
      <c r="H26" s="219"/>
      <c r="I26" s="213"/>
      <c r="J26" s="213"/>
      <c r="K26" s="213"/>
      <c r="L26" s="213"/>
      <c r="M26" s="218"/>
      <c r="N26" s="79"/>
      <c r="O26" s="1"/>
      <c r="P26" s="196"/>
      <c r="Q26" s="227"/>
      <c r="R26" s="126"/>
      <c r="S26" s="126"/>
      <c r="T26" s="95"/>
      <c r="U26" s="95"/>
    </row>
    <row r="27" spans="2:21" x14ac:dyDescent="0.25">
      <c r="B27" s="225">
        <v>17</v>
      </c>
      <c r="C27" s="216">
        <v>1093</v>
      </c>
      <c r="D27" s="213">
        <v>420</v>
      </c>
      <c r="E27" s="213"/>
      <c r="F27" s="213"/>
      <c r="G27" s="213"/>
      <c r="H27" s="219"/>
      <c r="I27" s="213"/>
      <c r="J27" s="213"/>
      <c r="K27" s="213"/>
      <c r="L27" s="213"/>
      <c r="M27" s="218"/>
      <c r="N27" s="79"/>
      <c r="O27" s="1"/>
      <c r="P27" s="196"/>
      <c r="Q27" s="228"/>
      <c r="R27" s="126"/>
      <c r="S27" s="126"/>
      <c r="T27" s="95"/>
      <c r="U27" s="95"/>
    </row>
    <row r="28" spans="2:21" x14ac:dyDescent="0.25">
      <c r="B28" s="225">
        <v>18</v>
      </c>
      <c r="C28" s="216">
        <v>150</v>
      </c>
      <c r="D28" s="220">
        <v>30</v>
      </c>
      <c r="E28" s="213"/>
      <c r="F28" s="213"/>
      <c r="G28" s="213"/>
      <c r="H28" s="219"/>
      <c r="I28" s="213"/>
      <c r="J28" s="213"/>
      <c r="K28" s="213"/>
      <c r="L28" s="213"/>
      <c r="M28" s="218"/>
      <c r="N28" s="79"/>
      <c r="O28" s="1"/>
      <c r="P28" s="196"/>
      <c r="Q28" s="91"/>
      <c r="R28" s="126"/>
      <c r="S28" s="126"/>
      <c r="T28" s="95"/>
      <c r="U28" s="95"/>
    </row>
    <row r="29" spans="2:21" x14ac:dyDescent="0.25">
      <c r="B29" s="225">
        <v>19</v>
      </c>
      <c r="C29" s="216">
        <v>1370</v>
      </c>
      <c r="D29" s="213">
        <v>145</v>
      </c>
      <c r="E29" s="213"/>
      <c r="F29" s="213"/>
      <c r="G29" s="213"/>
      <c r="H29" s="219"/>
      <c r="I29" s="213"/>
      <c r="J29" s="213"/>
      <c r="K29" s="213"/>
      <c r="L29" s="213"/>
      <c r="M29" s="218"/>
      <c r="N29" s="79"/>
      <c r="O29" s="1"/>
      <c r="P29" s="127"/>
      <c r="Q29" s="91"/>
      <c r="R29" s="126"/>
      <c r="S29" s="126"/>
      <c r="T29" s="95"/>
      <c r="U29" s="95"/>
    </row>
    <row r="30" spans="2:21" x14ac:dyDescent="0.25">
      <c r="B30" s="225">
        <v>20</v>
      </c>
      <c r="C30" s="216"/>
      <c r="D30" s="213"/>
      <c r="E30" s="213"/>
      <c r="F30" s="213"/>
      <c r="G30" s="213"/>
      <c r="H30" s="219"/>
      <c r="I30" s="213"/>
      <c r="J30" s="213"/>
      <c r="K30" s="213"/>
      <c r="L30" s="213"/>
      <c r="M30" s="218"/>
      <c r="N30" s="79"/>
    </row>
    <row r="31" spans="2:21" x14ac:dyDescent="0.25">
      <c r="B31" s="225">
        <v>21</v>
      </c>
      <c r="C31" s="216"/>
      <c r="D31" s="213"/>
      <c r="E31" s="213"/>
      <c r="F31" s="213"/>
      <c r="G31" s="213"/>
      <c r="H31" s="219"/>
      <c r="I31" s="213"/>
      <c r="J31" s="213"/>
      <c r="K31" s="213"/>
      <c r="L31" s="213"/>
      <c r="M31" s="218"/>
      <c r="N31" s="79"/>
    </row>
    <row r="32" spans="2:21" x14ac:dyDescent="0.25">
      <c r="B32" s="225">
        <v>22</v>
      </c>
      <c r="C32" s="216"/>
      <c r="D32" s="213"/>
      <c r="E32" s="213"/>
      <c r="F32" s="213"/>
      <c r="G32" s="213"/>
      <c r="H32" s="219"/>
      <c r="I32" s="213"/>
      <c r="J32" s="213"/>
      <c r="K32" s="213"/>
      <c r="L32" s="213"/>
      <c r="M32" s="218"/>
      <c r="N32" s="79"/>
    </row>
    <row r="33" spans="2:14" x14ac:dyDescent="0.25">
      <c r="B33" s="225">
        <v>23</v>
      </c>
      <c r="C33" s="216"/>
      <c r="D33" s="213"/>
      <c r="E33" s="213"/>
      <c r="F33" s="213"/>
      <c r="G33" s="213"/>
      <c r="H33" s="219"/>
      <c r="I33" s="213"/>
      <c r="J33" s="213"/>
      <c r="K33" s="213"/>
      <c r="L33" s="213"/>
      <c r="M33" s="218"/>
      <c r="N33" s="79"/>
    </row>
    <row r="34" spans="2:14" x14ac:dyDescent="0.25">
      <c r="B34" s="225">
        <v>24</v>
      </c>
      <c r="C34" s="216"/>
      <c r="D34" s="213"/>
      <c r="E34" s="213"/>
      <c r="F34" s="213"/>
      <c r="G34" s="213"/>
      <c r="H34" s="219"/>
      <c r="I34" s="213"/>
      <c r="J34" s="213"/>
      <c r="K34" s="213"/>
      <c r="L34" s="213"/>
      <c r="M34" s="218"/>
      <c r="N34" s="79"/>
    </row>
    <row r="35" spans="2:14" x14ac:dyDescent="0.25">
      <c r="B35" s="226">
        <v>25</v>
      </c>
      <c r="C35" s="221"/>
      <c r="D35" s="222"/>
      <c r="E35" s="222"/>
      <c r="F35" s="222"/>
      <c r="G35" s="222"/>
      <c r="H35" s="223"/>
      <c r="I35" s="222"/>
      <c r="J35" s="222"/>
      <c r="K35" s="222"/>
      <c r="L35" s="222"/>
      <c r="M35" s="224"/>
      <c r="N35" s="82"/>
    </row>
  </sheetData>
  <mergeCells count="4">
    <mergeCell ref="T12:U12"/>
    <mergeCell ref="R12:S12"/>
    <mergeCell ref="R22:S22"/>
    <mergeCell ref="P8:Q8"/>
  </mergeCells>
  <conditionalFormatting sqref="D11:D35">
    <cfRule type="cellIs" dxfId="10" priority="10" operator="lessThan">
      <formula>60</formula>
    </cfRule>
  </conditionalFormatting>
  <conditionalFormatting sqref="F11:F24">
    <cfRule type="cellIs" dxfId="9" priority="9" operator="lessThan">
      <formula>60</formula>
    </cfRule>
  </conditionalFormatting>
  <conditionalFormatting sqref="J11:J16">
    <cfRule type="cellIs" dxfId="8" priority="7" operator="lessThan">
      <formula>60</formula>
    </cfRule>
  </conditionalFormatting>
  <conditionalFormatting sqref="L11:L23">
    <cfRule type="cellIs" dxfId="7" priority="6" operator="lessThan">
      <formula>60</formula>
    </cfRule>
  </conditionalFormatting>
  <conditionalFormatting sqref="N11:N17">
    <cfRule type="cellIs" dxfId="6" priority="5" operator="lessThan">
      <formula>60</formula>
    </cfRule>
  </conditionalFormatting>
  <conditionalFormatting sqref="H11:H19">
    <cfRule type="cellIs" dxfId="5" priority="4" operator="lessThan">
      <formula>60</formula>
    </cfRule>
  </conditionalFormatting>
  <conditionalFormatting sqref="F11:F24">
    <cfRule type="cellIs" dxfId="4" priority="3" operator="lessThan">
      <formula>60</formula>
    </cfRule>
  </conditionalFormatting>
  <conditionalFormatting sqref="D11:D35">
    <cfRule type="cellIs" dxfId="3" priority="2" operator="lessThan">
      <formula>60</formula>
    </cfRule>
  </conditionalFormatting>
  <conditionalFormatting sqref="Q19:Q27">
    <cfRule type="cellIs" dxfId="2" priority="1" operator="lessThan">
      <formula>60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4:N20"/>
  <sheetViews>
    <sheetView showGridLines="0" topLeftCell="A5" zoomScale="90" zoomScaleNormal="90" workbookViewId="0">
      <selection activeCell="K15" sqref="K15"/>
    </sheetView>
  </sheetViews>
  <sheetFormatPr defaultRowHeight="15" x14ac:dyDescent="0.25"/>
  <cols>
    <col min="2" max="2" width="12.85546875" bestFit="1" customWidth="1"/>
    <col min="3" max="3" width="26.28515625" bestFit="1" customWidth="1"/>
    <col min="4" max="4" width="19.85546875" customWidth="1"/>
    <col min="5" max="9" width="17.5703125" customWidth="1"/>
    <col min="10" max="11" width="16.28515625" customWidth="1"/>
  </cols>
  <sheetData>
    <row r="4" spans="2:14" x14ac:dyDescent="0.25">
      <c r="B4" s="237"/>
      <c r="C4" s="237"/>
      <c r="G4" s="103"/>
      <c r="H4" s="103"/>
      <c r="I4" s="103"/>
    </row>
    <row r="5" spans="2:14" x14ac:dyDescent="0.25">
      <c r="B5" s="64"/>
      <c r="C5" s="64"/>
      <c r="D5" s="15"/>
    </row>
    <row r="6" spans="2:14" s="70" customFormat="1" ht="39" x14ac:dyDescent="0.25">
      <c r="B6" s="207" t="s">
        <v>105</v>
      </c>
      <c r="C6" s="207"/>
      <c r="D6" s="207"/>
      <c r="E6" s="207"/>
      <c r="F6" s="207"/>
      <c r="G6" s="207"/>
      <c r="H6" s="207"/>
      <c r="I6" s="207"/>
      <c r="J6" s="207"/>
      <c r="K6" s="207"/>
      <c r="L6" s="197"/>
      <c r="M6" s="159"/>
      <c r="N6" s="159"/>
    </row>
    <row r="10" spans="2:14" ht="30.75" customHeight="1" x14ac:dyDescent="0.25">
      <c r="D10" s="199" t="s">
        <v>71</v>
      </c>
      <c r="E10" s="199" t="s">
        <v>72</v>
      </c>
    </row>
    <row r="11" spans="2:14" x14ac:dyDescent="0.25">
      <c r="B11" s="70"/>
      <c r="C11" s="70"/>
      <c r="D11" s="71">
        <f>Modelagem!E14</f>
        <v>60</v>
      </c>
      <c r="E11" s="74">
        <f>D11</f>
        <v>60</v>
      </c>
      <c r="F11" s="70"/>
      <c r="G11" s="70"/>
      <c r="H11" s="70"/>
      <c r="I11" s="70"/>
      <c r="J11" s="70"/>
      <c r="K11" s="70"/>
    </row>
    <row r="13" spans="2:14" x14ac:dyDescent="0.25">
      <c r="D13" s="200" t="s">
        <v>36</v>
      </c>
      <c r="E13" s="200"/>
      <c r="F13" s="200"/>
      <c r="G13" s="200" t="s">
        <v>34</v>
      </c>
      <c r="H13" s="200"/>
      <c r="I13" s="200"/>
      <c r="J13" s="201" t="s">
        <v>35</v>
      </c>
      <c r="K13" s="201"/>
    </row>
    <row r="14" spans="2:14" x14ac:dyDescent="0.25">
      <c r="C14" s="36"/>
      <c r="D14" s="202" t="s">
        <v>10</v>
      </c>
      <c r="E14" s="202" t="s">
        <v>7</v>
      </c>
      <c r="F14" s="202" t="s">
        <v>37</v>
      </c>
      <c r="G14" s="202" t="s">
        <v>10</v>
      </c>
      <c r="H14" s="202" t="s">
        <v>7</v>
      </c>
      <c r="I14" s="202" t="s">
        <v>37</v>
      </c>
      <c r="J14" s="31" t="s">
        <v>10</v>
      </c>
      <c r="K14" s="31" t="s">
        <v>7</v>
      </c>
    </row>
    <row r="15" spans="2:14" x14ac:dyDescent="0.25">
      <c r="B15" s="31" t="s">
        <v>29</v>
      </c>
      <c r="C15" s="203" t="s">
        <v>11</v>
      </c>
      <c r="D15" s="73">
        <f ca="1" xml:space="preserve"> COUNTIFS(OFFSET( 'Dados Falhas'!$B$11, 0, MATCH($C15,'Dados Falhas'!$C$8:$N$8,0)+1, COUNTA('Dados Falhas'!$B$11:$B$35), 1), "&lt;"&amp;$D$11)</f>
        <v>5</v>
      </c>
      <c r="E15" s="73">
        <f ca="1" xml:space="preserve"> COUNTIFS(OFFSET( 'Dados Falhas'!$B$11, 0, MATCH($C15,'Dados Falhas'!$C$8:$N$8,0)+1, COUNTA('Dados Falhas'!$B$11:$B$35), 1), "&gt;="&amp;$E$11)</f>
        <v>14</v>
      </c>
      <c r="F15" s="38">
        <f ca="1">SUM(D15:E15)</f>
        <v>19</v>
      </c>
      <c r="G15" s="87">
        <f ca="1" xml:space="preserve"> IF(D15=0,0,AVERAGEIFS(OFFSET( 'Dados Falhas'!$B$11, 0, MATCH($C15,'Dados Falhas'!$C$8:$N$8,0)+1, COUNTA('Dados Falhas'!$B$11:$B$35), 1),OFFSET( 'Dados Falhas'!$B$11, 0, MATCH($C15,'Dados Falhas'!$C$8:$N$8,0)+1, COUNTA('Dados Falhas'!$B$11:$B$35), 1), "&lt;"&amp;$D$11))</f>
        <v>31.2</v>
      </c>
      <c r="H15" s="87">
        <f ca="1" xml:space="preserve"> IF(E15=0,0,AVERAGEIFS(OFFSET( 'Dados Falhas'!$B$11, 0, MATCH($C15,'Dados Falhas'!$C$8:$N$8,0)+1, COUNTA('Dados Falhas'!$B$11:$B$35), 1),OFFSET( 'Dados Falhas'!$B$11, 0, MATCH($C15,'Dados Falhas'!$C$8:$N$8,0)+1, COUNTA('Dados Falhas'!$B$11:$B$35), 1), "&gt;="&amp;$E$11))</f>
        <v>144.92857142857142</v>
      </c>
      <c r="I15" s="38"/>
      <c r="J15" s="88">
        <f ca="1" xml:space="preserve"> D15 / F15</f>
        <v>0.26315789473684209</v>
      </c>
      <c r="K15" s="88">
        <f ca="1" xml:space="preserve"> 1 - J15</f>
        <v>0.73684210526315796</v>
      </c>
    </row>
    <row r="16" spans="2:14" x14ac:dyDescent="0.25">
      <c r="B16" s="31" t="s">
        <v>30</v>
      </c>
      <c r="C16" s="203" t="s">
        <v>12</v>
      </c>
      <c r="D16" s="73">
        <f ca="1" xml:space="preserve"> COUNTIFS(OFFSET( 'Dados Falhas'!$B$11, 0, MATCH($C16,'Dados Falhas'!$C$8:$N$8,0)+1, COUNTA('Dados Falhas'!$B$11:$B$35), 1), "&lt;"&amp;$D$11)</f>
        <v>5</v>
      </c>
      <c r="E16" s="73">
        <f ca="1" xml:space="preserve"> COUNTIFS(OFFSET( 'Dados Falhas'!$B$11, 0, MATCH($C16,'Dados Falhas'!$C$8:$N$8,0)+1, COUNTA('Dados Falhas'!$B$11:$B$35), 1), "&gt;="&amp;$E$11)</f>
        <v>9</v>
      </c>
      <c r="F16" s="38">
        <f t="shared" ref="F16:F20" ca="1" si="0">SUM(D16:E16)</f>
        <v>14</v>
      </c>
      <c r="G16" s="87">
        <f ca="1" xml:space="preserve"> IF(D16=0,0,AVERAGEIFS(OFFSET( 'Dados Falhas'!$B$11, 0, MATCH($C16,'Dados Falhas'!$C$8:$N$8,0)+1, COUNTA('Dados Falhas'!$B$11:$B$35), 1),OFFSET( 'Dados Falhas'!$B$11, 0, MATCH($C16,'Dados Falhas'!$C$8:$N$8,0)+1, COUNTA('Dados Falhas'!$B$11:$B$35), 1), "&lt;"&amp;$D$11))</f>
        <v>33.6</v>
      </c>
      <c r="H16" s="87">
        <f ca="1" xml:space="preserve"> IF(E16=0,0,AVERAGEIFS(OFFSET( 'Dados Falhas'!$B$11, 0, MATCH($C16,'Dados Falhas'!$C$8:$N$8,0)+1, COUNTA('Dados Falhas'!$B$11:$B$35), 1),OFFSET( 'Dados Falhas'!$B$11, 0, MATCH($C16,'Dados Falhas'!$C$8:$N$8,0)+1, COUNTA('Dados Falhas'!$B$11:$B$35), 1), "&gt;="&amp;$E$11))</f>
        <v>86.111111111111114</v>
      </c>
      <c r="I16" s="38"/>
      <c r="J16" s="88">
        <f t="shared" ref="J16:J20" ca="1" si="1" xml:space="preserve"> D16 / F16</f>
        <v>0.35714285714285715</v>
      </c>
      <c r="K16" s="88">
        <f t="shared" ref="K16:K20" ca="1" si="2" xml:space="preserve"> 1 - J16</f>
        <v>0.64285714285714279</v>
      </c>
    </row>
    <row r="17" spans="2:11" x14ac:dyDescent="0.25">
      <c r="B17" s="31" t="s">
        <v>31</v>
      </c>
      <c r="C17" s="203" t="s">
        <v>13</v>
      </c>
      <c r="D17" s="73">
        <f ca="1" xml:space="preserve"> COUNTIFS(OFFSET( 'Dados Falhas'!$B$11, 0, MATCH($C17,'Dados Falhas'!$C$8:$N$8,0)+1, COUNTA('Dados Falhas'!$B$11:$B$35), 1), "&lt;"&amp;$D$11)</f>
        <v>5</v>
      </c>
      <c r="E17" s="73">
        <f ca="1" xml:space="preserve"> COUNTIFS(OFFSET( 'Dados Falhas'!$B$11, 0, MATCH($C17,'Dados Falhas'!$C$8:$N$8,0)+1, COUNTA('Dados Falhas'!$B$11:$B$35), 1), "&gt;="&amp;$E$11)</f>
        <v>4</v>
      </c>
      <c r="F17" s="38">
        <f t="shared" ca="1" si="0"/>
        <v>9</v>
      </c>
      <c r="G17" s="87">
        <f ca="1" xml:space="preserve"> IF(D17=0,0,AVERAGEIFS(OFFSET( 'Dados Falhas'!$B$11, 0, MATCH($C17,'Dados Falhas'!$C$8:$N$8,0)+1, COUNTA('Dados Falhas'!$B$11:$B$35), 1),OFFSET( 'Dados Falhas'!$B$11, 0, MATCH($C17,'Dados Falhas'!$C$8:$N$8,0)+1, COUNTA('Dados Falhas'!$B$11:$B$35), 1), "&lt;"&amp;$D$11))</f>
        <v>39</v>
      </c>
      <c r="H17" s="87">
        <f ca="1" xml:space="preserve"> IF(E17=0,0,AVERAGEIFS(OFFSET( 'Dados Falhas'!$B$11, 0, MATCH($C17,'Dados Falhas'!$C$8:$N$8,0)+1, COUNTA('Dados Falhas'!$B$11:$B$35), 1),OFFSET( 'Dados Falhas'!$B$11, 0, MATCH($C17,'Dados Falhas'!$C$8:$N$8,0)+1, COUNTA('Dados Falhas'!$B$11:$B$35), 1), "&gt;="&amp;$E$11))</f>
        <v>273.75</v>
      </c>
      <c r="I17" s="38"/>
      <c r="J17" s="88">
        <f t="shared" ca="1" si="1"/>
        <v>0.55555555555555558</v>
      </c>
      <c r="K17" s="88">
        <f t="shared" ca="1" si="2"/>
        <v>0.44444444444444442</v>
      </c>
    </row>
    <row r="18" spans="2:11" x14ac:dyDescent="0.25">
      <c r="B18" s="31" t="s">
        <v>32</v>
      </c>
      <c r="C18" s="203" t="s">
        <v>14</v>
      </c>
      <c r="D18" s="73">
        <f ca="1" xml:space="preserve"> COUNTIFS(OFFSET( 'Dados Falhas'!$B$11, 0, MATCH($C18,'Dados Falhas'!$C$8:$N$8,0)+1, COUNTA('Dados Falhas'!$B$11:$B$35), 1), "&lt;"&amp;$D$11)</f>
        <v>1</v>
      </c>
      <c r="E18" s="73">
        <f ca="1" xml:space="preserve"> COUNTIFS(OFFSET( 'Dados Falhas'!$B$11, 0, MATCH($C18,'Dados Falhas'!$C$8:$N$8,0)+1, COUNTA('Dados Falhas'!$B$11:$B$35), 1), "&gt;="&amp;$E$11)</f>
        <v>5</v>
      </c>
      <c r="F18" s="38">
        <f t="shared" ca="1" si="0"/>
        <v>6</v>
      </c>
      <c r="G18" s="87">
        <f ca="1" xml:space="preserve"> IF(D18=0,0,AVERAGEIFS(OFFSET( 'Dados Falhas'!$B$11, 0, MATCH($C18,'Dados Falhas'!$C$8:$N$8,0)+1, COUNTA('Dados Falhas'!$B$11:$B$35), 1),OFFSET( 'Dados Falhas'!$B$11, 0, MATCH($C18,'Dados Falhas'!$C$8:$N$8,0)+1, COUNTA('Dados Falhas'!$B$11:$B$35), 1), "&lt;"&amp;$D$11))</f>
        <v>10</v>
      </c>
      <c r="H18" s="87">
        <f ca="1" xml:space="preserve"> IF(E18=0,0,AVERAGEIFS(OFFSET( 'Dados Falhas'!$B$11, 0, MATCH($C18,'Dados Falhas'!$C$8:$N$8,0)+1, COUNTA('Dados Falhas'!$B$11:$B$35), 1),OFFSET( 'Dados Falhas'!$B$11, 0, MATCH($C18,'Dados Falhas'!$C$8:$N$8,0)+1, COUNTA('Dados Falhas'!$B$11:$B$35), 1), "&gt;="&amp;$E$11))</f>
        <v>215</v>
      </c>
      <c r="I18" s="38"/>
      <c r="J18" s="88">
        <f t="shared" ca="1" si="1"/>
        <v>0.16666666666666666</v>
      </c>
      <c r="K18" s="88">
        <f t="shared" ca="1" si="2"/>
        <v>0.83333333333333337</v>
      </c>
    </row>
    <row r="19" spans="2:11" x14ac:dyDescent="0.25">
      <c r="B19" s="31" t="s">
        <v>33</v>
      </c>
      <c r="C19" s="203" t="s">
        <v>15</v>
      </c>
      <c r="D19" s="73">
        <f ca="1" xml:space="preserve"> COUNTIFS(OFFSET( 'Dados Falhas'!$B$11, 0, MATCH($C19,'Dados Falhas'!$C$8:$N$8,0)+1, COUNTA('Dados Falhas'!$B$11:$B$35), 1), "&lt;"&amp;$D$11)</f>
        <v>1</v>
      </c>
      <c r="E19" s="73">
        <f ca="1" xml:space="preserve"> COUNTIFS(OFFSET( 'Dados Falhas'!$B$11, 0, MATCH($C19,'Dados Falhas'!$C$8:$N$8,0)+1, COUNTA('Dados Falhas'!$B$11:$B$35), 1), "&gt;="&amp;$E$11)</f>
        <v>12</v>
      </c>
      <c r="F19" s="38">
        <f t="shared" ca="1" si="0"/>
        <v>13</v>
      </c>
      <c r="G19" s="87">
        <f ca="1" xml:space="preserve"> IF(D19=0,0,AVERAGEIFS(OFFSET( 'Dados Falhas'!$B$11, 0, MATCH($C19,'Dados Falhas'!$C$8:$N$8,0)+1, COUNTA('Dados Falhas'!$B$11:$B$35), 1),OFFSET( 'Dados Falhas'!$B$11, 0, MATCH($C19,'Dados Falhas'!$C$8:$N$8,0)+1, COUNTA('Dados Falhas'!$B$11:$B$35), 1), "&lt;"&amp;$D$11))</f>
        <v>10</v>
      </c>
      <c r="H19" s="87">
        <f ca="1" xml:space="preserve"> IF(E19=0,0,AVERAGEIFS(OFFSET( 'Dados Falhas'!$B$11, 0, MATCH($C19,'Dados Falhas'!$C$8:$N$8,0)+1, COUNTA('Dados Falhas'!$B$11:$B$35), 1),OFFSET( 'Dados Falhas'!$B$11, 0, MATCH($C19,'Dados Falhas'!$C$8:$N$8,0)+1, COUNTA('Dados Falhas'!$B$11:$B$35), 1), "&gt;="&amp;$E$11))</f>
        <v>118.41666666666667</v>
      </c>
      <c r="I19" s="38"/>
      <c r="J19" s="88">
        <f t="shared" ca="1" si="1"/>
        <v>7.6923076923076927E-2</v>
      </c>
      <c r="K19" s="88">
        <f t="shared" ca="1" si="2"/>
        <v>0.92307692307692313</v>
      </c>
    </row>
    <row r="20" spans="2:11" x14ac:dyDescent="0.25">
      <c r="B20" s="204" t="s">
        <v>23</v>
      </c>
      <c r="C20" s="203" t="s">
        <v>28</v>
      </c>
      <c r="D20" s="73">
        <f ca="1" xml:space="preserve"> COUNTIFS(OFFSET( 'Dados Falhas'!$B$11, 0, MATCH($C20,'Dados Falhas'!$C$8:$N$8,0)+1, COUNTA('Dados Falhas'!$B$11:$B$35), 1), "&lt;"&amp;$D$11)</f>
        <v>3</v>
      </c>
      <c r="E20" s="73">
        <f ca="1" xml:space="preserve"> COUNTIFS(OFFSET( 'Dados Falhas'!$B$11, 0, MATCH($C20,'Dados Falhas'!$C$8:$N$8,0)+1, COUNTA('Dados Falhas'!$B$11:$B$35), 1), "&gt;="&amp;$E$11)</f>
        <v>4</v>
      </c>
      <c r="F20" s="38">
        <f t="shared" ca="1" si="0"/>
        <v>7</v>
      </c>
      <c r="G20" s="87">
        <f ca="1" xml:space="preserve"> IF(D20=0,0,AVERAGEIFS(OFFSET( 'Dados Falhas'!$B$11, 0, MATCH($C20,'Dados Falhas'!$C$8:$N$8,0)+1, COUNTA('Dados Falhas'!$B$11:$B$35), 1),OFFSET( 'Dados Falhas'!$B$11, 0, MATCH($C20,'Dados Falhas'!$C$8:$N$8,0)+1, COUNTA('Dados Falhas'!$B$11:$B$35), 1), "&lt;"&amp;$D$11))</f>
        <v>37</v>
      </c>
      <c r="H20" s="87">
        <f ca="1" xml:space="preserve"> IF(E20=0,0,AVERAGEIFS(OFFSET( 'Dados Falhas'!$B$11, 0, MATCH($C20,'Dados Falhas'!$C$8:$N$8,0)+1, COUNTA('Dados Falhas'!$B$11:$B$35), 1),OFFSET( 'Dados Falhas'!$B$11, 0, MATCH($C20,'Dados Falhas'!$C$8:$N$8,0)+1, COUNTA('Dados Falhas'!$B$11:$B$35), 1), "&gt;="&amp;$E$11))</f>
        <v>162.25</v>
      </c>
      <c r="I20" s="38"/>
      <c r="J20" s="88">
        <f t="shared" ca="1" si="1"/>
        <v>0.42857142857142855</v>
      </c>
      <c r="K20" s="88">
        <f t="shared" ca="1" si="2"/>
        <v>0.5714285714285714</v>
      </c>
    </row>
  </sheetData>
  <mergeCells count="1">
    <mergeCell ref="B4:C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/>
  <dimension ref="B2:T47"/>
  <sheetViews>
    <sheetView showGridLines="0" zoomScaleNormal="100" workbookViewId="0">
      <selection activeCell="F7" sqref="F7"/>
    </sheetView>
  </sheetViews>
  <sheetFormatPr defaultRowHeight="15" x14ac:dyDescent="0.25"/>
  <cols>
    <col min="2" max="2" width="11.28515625" customWidth="1"/>
    <col min="3" max="3" width="13.7109375" bestFit="1" customWidth="1"/>
    <col min="4" max="4" width="14.28515625" bestFit="1" customWidth="1"/>
    <col min="5" max="5" width="16.42578125" bestFit="1" customWidth="1"/>
    <col min="6" max="6" width="26.28515625" bestFit="1" customWidth="1"/>
    <col min="7" max="7" width="16.42578125" bestFit="1" customWidth="1"/>
    <col min="8" max="9" width="15.5703125" customWidth="1"/>
    <col min="10" max="10" width="14.140625" customWidth="1"/>
    <col min="11" max="11" width="12.7109375" bestFit="1" customWidth="1"/>
    <col min="13" max="13" width="16" bestFit="1" customWidth="1"/>
    <col min="15" max="15" width="13.7109375" bestFit="1" customWidth="1"/>
    <col min="16" max="17" width="14.5703125" bestFit="1" customWidth="1"/>
  </cols>
  <sheetData>
    <row r="2" spans="2:20" x14ac:dyDescent="0.25">
      <c r="L2" s="236"/>
      <c r="M2" s="236"/>
      <c r="N2" s="236"/>
      <c r="O2" s="236"/>
      <c r="P2" s="236"/>
      <c r="Q2" s="236"/>
      <c r="R2" s="236"/>
      <c r="S2" s="236"/>
      <c r="T2" s="236"/>
    </row>
    <row r="3" spans="2:20" x14ac:dyDescent="0.25">
      <c r="L3" s="95"/>
      <c r="M3" s="95"/>
      <c r="N3" s="95"/>
      <c r="O3" s="95"/>
      <c r="P3" s="95"/>
      <c r="Q3" s="95"/>
      <c r="R3" s="95"/>
      <c r="S3" s="95"/>
      <c r="T3" s="95"/>
    </row>
    <row r="4" spans="2:20" x14ac:dyDescent="0.25">
      <c r="L4" s="96"/>
      <c r="M4" s="96"/>
      <c r="N4" s="95"/>
      <c r="O4" s="95"/>
      <c r="P4" s="95"/>
      <c r="Q4" s="95"/>
      <c r="R4" s="95"/>
      <c r="S4" s="95"/>
      <c r="T4" s="95"/>
    </row>
    <row r="5" spans="2:20" x14ac:dyDescent="0.25">
      <c r="L5" s="24"/>
      <c r="M5" s="24"/>
      <c r="N5" s="95"/>
      <c r="O5" s="95"/>
      <c r="P5" s="95"/>
      <c r="Q5" s="95"/>
      <c r="R5" s="95"/>
      <c r="S5" s="95"/>
      <c r="T5" s="95"/>
    </row>
    <row r="6" spans="2:20" ht="39" x14ac:dyDescent="0.25">
      <c r="B6" s="207" t="s">
        <v>107</v>
      </c>
      <c r="C6" s="207"/>
      <c r="D6" s="207"/>
      <c r="E6" s="207"/>
      <c r="F6" s="207"/>
      <c r="G6" s="207"/>
      <c r="H6" s="207"/>
      <c r="I6" s="207"/>
      <c r="J6" s="207"/>
      <c r="K6" s="207"/>
      <c r="L6" s="24"/>
      <c r="M6" s="24"/>
      <c r="N6" s="95"/>
      <c r="O6" s="95"/>
      <c r="P6" s="95"/>
      <c r="Q6" s="95"/>
      <c r="R6" s="95"/>
      <c r="S6" s="95"/>
      <c r="T6" s="95"/>
    </row>
    <row r="7" spans="2:20" x14ac:dyDescent="0.25">
      <c r="L7" s="24"/>
      <c r="M7" s="24"/>
      <c r="N7" s="95"/>
      <c r="O7" s="95"/>
      <c r="P7" s="95"/>
      <c r="Q7" s="95"/>
      <c r="R7" s="95"/>
      <c r="S7" s="95"/>
      <c r="T7" s="95"/>
    </row>
    <row r="8" spans="2:20" x14ac:dyDescent="0.25">
      <c r="L8" s="24"/>
      <c r="M8" s="24"/>
      <c r="N8" s="95"/>
      <c r="O8" s="95"/>
      <c r="P8" s="95"/>
      <c r="Q8" s="95"/>
      <c r="R8" s="95"/>
      <c r="S8" s="95"/>
      <c r="T8" s="95"/>
    </row>
    <row r="9" spans="2:20" x14ac:dyDescent="0.25">
      <c r="L9" s="24"/>
      <c r="M9" s="24"/>
      <c r="N9" s="95"/>
      <c r="O9" s="95"/>
      <c r="P9" s="95"/>
      <c r="Q9" s="95"/>
      <c r="R9" s="95"/>
      <c r="S9" s="95"/>
      <c r="T9" s="95"/>
    </row>
    <row r="10" spans="2:20" x14ac:dyDescent="0.25">
      <c r="B10" s="31" t="s">
        <v>18</v>
      </c>
      <c r="C10" s="31" t="s">
        <v>17</v>
      </c>
      <c r="D10" s="31" t="s">
        <v>19</v>
      </c>
      <c r="E10" s="31" t="s">
        <v>20</v>
      </c>
      <c r="F10" s="31" t="s">
        <v>21</v>
      </c>
      <c r="G10" s="31" t="s">
        <v>22</v>
      </c>
      <c r="I10" s="206" t="s">
        <v>25</v>
      </c>
      <c r="J10" s="37">
        <f>SLOPE(F11:F19,G11:G19)</f>
        <v>0.73795293416894481</v>
      </c>
      <c r="L10" s="95"/>
      <c r="M10" s="95"/>
      <c r="N10" s="95"/>
      <c r="O10" s="95"/>
      <c r="P10" s="95"/>
      <c r="Q10" s="95"/>
      <c r="R10" s="95"/>
      <c r="S10" s="95"/>
      <c r="T10" s="95"/>
    </row>
    <row r="11" spans="2:20" x14ac:dyDescent="0.25">
      <c r="B11" s="2">
        <v>1</v>
      </c>
      <c r="C11" s="105">
        <f>IF(ISERROR(SMALL('Dados Falhas'!$G$11:$G$19,1)),"",SMALL('Dados Falhas'!$G$11:$G$19,B11))</f>
        <v>30</v>
      </c>
      <c r="D11" s="101">
        <f>(B11-0.3)/(COUNT($B$11:$B$19)+0.4)</f>
        <v>7.4468085106382975E-2</v>
      </c>
      <c r="E11" s="33">
        <f t="shared" ref="E11:E19" si="0">1/(1-D11)</f>
        <v>1.0804597701149425</v>
      </c>
      <c r="F11" s="22">
        <f t="shared" ref="F11:F19" si="1">LN(LN(E11))</f>
        <v>-2.5589408179429509</v>
      </c>
      <c r="G11" s="22">
        <f t="shared" ref="G11:G19" si="2">LN(C11)</f>
        <v>3.4011973816621555</v>
      </c>
      <c r="I11" s="206" t="s">
        <v>24</v>
      </c>
      <c r="J11" s="37">
        <f>EXP(-(INTERCEPT(F11:F19,G11:G19)/J10))</f>
        <v>1503.7977941288816</v>
      </c>
      <c r="L11" s="95"/>
      <c r="M11" s="95"/>
      <c r="N11" s="95"/>
      <c r="O11" s="95"/>
      <c r="P11" s="95"/>
      <c r="Q11" s="95"/>
      <c r="R11" s="95"/>
      <c r="S11" s="95"/>
      <c r="T11" s="95"/>
    </row>
    <row r="12" spans="2:20" x14ac:dyDescent="0.25">
      <c r="B12" s="2">
        <v>2</v>
      </c>
      <c r="C12" s="105">
        <f>IF(ISERROR(SMALL('Dados Falhas'!$G$11:$G$19,1)),"",SMALL('Dados Falhas'!$G$11:$G$19,B12))</f>
        <v>254</v>
      </c>
      <c r="D12" s="101">
        <f t="shared" ref="D12:D19" si="3">(B12-0.3)/(COUNT($B$11:$B$19)+0.4)</f>
        <v>0.18085106382978722</v>
      </c>
      <c r="E12" s="33">
        <f t="shared" si="0"/>
        <v>1.2207792207792207</v>
      </c>
      <c r="F12" s="22">
        <f t="shared" si="1"/>
        <v>-1.6119943753208967</v>
      </c>
      <c r="G12" s="22">
        <f t="shared" si="2"/>
        <v>5.5373342670185366</v>
      </c>
      <c r="L12" s="30"/>
      <c r="M12" s="30"/>
      <c r="N12" s="30"/>
      <c r="O12" s="30"/>
      <c r="P12" s="30"/>
      <c r="Q12" s="30"/>
      <c r="R12" s="95"/>
      <c r="S12" s="95"/>
      <c r="T12" s="95"/>
    </row>
    <row r="13" spans="2:20" x14ac:dyDescent="0.25">
      <c r="B13" s="2">
        <v>3</v>
      </c>
      <c r="C13" s="105">
        <f>IF(ISERROR(SMALL('Dados Falhas'!$G$11:$G$19,1)),"",SMALL('Dados Falhas'!$G$11:$G$19,B13))</f>
        <v>660</v>
      </c>
      <c r="D13" s="101">
        <f t="shared" si="3"/>
        <v>0.28723404255319152</v>
      </c>
      <c r="E13" s="33">
        <f t="shared" si="0"/>
        <v>1.4029850746268657</v>
      </c>
      <c r="F13" s="22">
        <f t="shared" si="1"/>
        <v>-1.082929421592228</v>
      </c>
      <c r="G13" s="109">
        <f t="shared" si="2"/>
        <v>6.4922398350204711</v>
      </c>
      <c r="L13" s="24"/>
      <c r="M13" s="24"/>
      <c r="N13" s="24"/>
      <c r="O13" s="24"/>
      <c r="P13" s="24"/>
      <c r="Q13" s="24"/>
      <c r="R13" s="95"/>
      <c r="S13" s="95"/>
      <c r="T13" s="95"/>
    </row>
    <row r="14" spans="2:20" x14ac:dyDescent="0.25">
      <c r="B14" s="2">
        <v>4</v>
      </c>
      <c r="C14" s="105">
        <f>IF(ISERROR(SMALL('Dados Falhas'!$G$11:$G$19,1)),"",SMALL('Dados Falhas'!$G$11:$G$19,B14))</f>
        <v>715</v>
      </c>
      <c r="D14" s="101">
        <f t="shared" si="3"/>
        <v>0.39361702127659576</v>
      </c>
      <c r="E14" s="33">
        <f t="shared" si="0"/>
        <v>1.6491228070175437</v>
      </c>
      <c r="F14" s="22">
        <f t="shared" si="1"/>
        <v>-0.69266027024910526</v>
      </c>
      <c r="G14" s="22">
        <f t="shared" si="2"/>
        <v>6.5722825426940075</v>
      </c>
      <c r="L14" s="24"/>
      <c r="M14" s="24"/>
      <c r="N14" s="24"/>
      <c r="O14" s="24"/>
      <c r="P14" s="24"/>
      <c r="Q14" s="24"/>
      <c r="R14" s="95"/>
      <c r="S14" s="95"/>
      <c r="T14" s="95"/>
    </row>
    <row r="15" spans="2:20" x14ac:dyDescent="0.25">
      <c r="B15" s="2">
        <v>5</v>
      </c>
      <c r="C15" s="105">
        <f>IF(ISERROR(SMALL('Dados Falhas'!$G$11:$G$19,1)),"",SMALL('Dados Falhas'!$G$11:$G$19,B15))</f>
        <v>795</v>
      </c>
      <c r="D15" s="101">
        <f t="shared" si="3"/>
        <v>0.5</v>
      </c>
      <c r="E15" s="33">
        <f t="shared" si="0"/>
        <v>2</v>
      </c>
      <c r="F15" s="22">
        <f t="shared" si="1"/>
        <v>-0.36651292058166435</v>
      </c>
      <c r="G15" s="22">
        <f t="shared" si="2"/>
        <v>6.678342114654332</v>
      </c>
      <c r="L15" s="24"/>
      <c r="M15" s="24"/>
      <c r="N15" s="24"/>
      <c r="O15" s="24"/>
      <c r="P15" s="24"/>
      <c r="Q15" s="24"/>
      <c r="R15" s="95"/>
      <c r="S15" s="95"/>
      <c r="T15" s="95"/>
    </row>
    <row r="16" spans="2:20" x14ac:dyDescent="0.25">
      <c r="B16" s="2">
        <v>6</v>
      </c>
      <c r="C16" s="105">
        <f>IF(ISERROR(SMALL('Dados Falhas'!$G$11:$G$19,1)),"",SMALL('Dados Falhas'!$G$11:$G$19,B16))</f>
        <v>1980</v>
      </c>
      <c r="D16" s="101">
        <f t="shared" si="3"/>
        <v>0.6063829787234043</v>
      </c>
      <c r="E16" s="33">
        <f t="shared" si="0"/>
        <v>2.5405405405405408</v>
      </c>
      <c r="F16" s="22">
        <f t="shared" si="1"/>
        <v>-7.0018179479401144E-2</v>
      </c>
      <c r="G16" s="22">
        <f t="shared" si="2"/>
        <v>7.5908521236885811</v>
      </c>
      <c r="I16" s="31" t="s">
        <v>26</v>
      </c>
      <c r="J16" s="8">
        <v>900</v>
      </c>
      <c r="L16" s="95"/>
      <c r="M16" s="95"/>
      <c r="N16" s="95"/>
      <c r="O16" s="95"/>
      <c r="P16" s="95"/>
      <c r="Q16" s="95"/>
      <c r="R16" s="95"/>
      <c r="S16" s="95"/>
      <c r="T16" s="95"/>
    </row>
    <row r="17" spans="2:20" x14ac:dyDescent="0.25">
      <c r="B17" s="2">
        <v>7</v>
      </c>
      <c r="C17" s="105">
        <f>IF(ISERROR(SMALL('Dados Falhas'!$G$11:$G$19,1)),"",SMALL('Dados Falhas'!$G$11:$G$19,B17))</f>
        <v>2060</v>
      </c>
      <c r="D17" s="101">
        <f t="shared" si="3"/>
        <v>0.71276595744680848</v>
      </c>
      <c r="E17" s="33">
        <f t="shared" si="0"/>
        <v>3.481481481481481</v>
      </c>
      <c r="F17" s="22">
        <f t="shared" si="1"/>
        <v>0.22110781361814413</v>
      </c>
      <c r="G17" s="22">
        <f t="shared" si="2"/>
        <v>7.6304612617836272</v>
      </c>
      <c r="I17" s="31" t="s">
        <v>9</v>
      </c>
      <c r="J17" s="37">
        <f>EXP(-((J16/$J$11)^$J$10))</f>
        <v>0.5042610928083997</v>
      </c>
      <c r="L17" s="30"/>
      <c r="M17" s="30"/>
      <c r="N17" s="30"/>
      <c r="O17" s="30"/>
      <c r="P17" s="30"/>
      <c r="Q17" s="30"/>
      <c r="R17" s="30"/>
      <c r="S17" s="30"/>
      <c r="T17" s="30"/>
    </row>
    <row r="18" spans="2:20" x14ac:dyDescent="0.25">
      <c r="B18" s="2">
        <v>8</v>
      </c>
      <c r="C18" s="105">
        <f>IF(ISERROR(SMALL('Dados Falhas'!$G$11:$G$19,1)),"",SMALL('Dados Falhas'!$G$11:$G$19,B18))</f>
        <v>2070</v>
      </c>
      <c r="D18" s="101">
        <f t="shared" si="3"/>
        <v>0.81914893617021278</v>
      </c>
      <c r="E18" s="33">
        <f t="shared" si="0"/>
        <v>5.5294117647058831</v>
      </c>
      <c r="F18" s="22">
        <f t="shared" si="1"/>
        <v>0.53654099406697475</v>
      </c>
      <c r="G18" s="22">
        <f t="shared" si="2"/>
        <v>7.6353038862594147</v>
      </c>
      <c r="L18" s="24"/>
      <c r="M18" s="24"/>
      <c r="N18" s="24"/>
      <c r="O18" s="24"/>
      <c r="P18" s="24"/>
      <c r="Q18" s="24"/>
      <c r="R18" s="24"/>
      <c r="S18" s="24"/>
      <c r="T18" s="24"/>
    </row>
    <row r="19" spans="2:20" x14ac:dyDescent="0.25">
      <c r="B19" s="3">
        <v>9</v>
      </c>
      <c r="C19" s="106">
        <f>IF(ISERROR(SMALL('Dados Falhas'!$G$11:$G$19,1)),"",SMALL('Dados Falhas'!$G$11:$G$19,B19))</f>
        <v>2905</v>
      </c>
      <c r="D19" s="108">
        <f t="shared" si="3"/>
        <v>0.92553191489361686</v>
      </c>
      <c r="E19" s="102">
        <f t="shared" si="0"/>
        <v>13.428571428571399</v>
      </c>
      <c r="F19" s="23">
        <f t="shared" si="1"/>
        <v>0.95450502845809071</v>
      </c>
      <c r="G19" s="23">
        <f t="shared" si="2"/>
        <v>7.9741886692860113</v>
      </c>
      <c r="L19" s="24"/>
      <c r="M19" s="24"/>
      <c r="N19" s="24"/>
      <c r="O19" s="24"/>
      <c r="P19" s="24"/>
      <c r="Q19" s="24"/>
      <c r="R19" s="24"/>
      <c r="S19" s="24"/>
      <c r="T19" s="24"/>
    </row>
    <row r="22" spans="2:20" x14ac:dyDescent="0.25">
      <c r="I22" s="15"/>
      <c r="J22" s="15"/>
      <c r="K22" s="15"/>
      <c r="L22" s="15"/>
    </row>
    <row r="23" spans="2:20" x14ac:dyDescent="0.25">
      <c r="I23" s="15"/>
      <c r="J23" s="15"/>
      <c r="K23" s="15"/>
      <c r="L23" s="15"/>
    </row>
    <row r="24" spans="2:20" x14ac:dyDescent="0.25">
      <c r="I24" s="30"/>
      <c r="J24" s="30"/>
      <c r="K24" s="30"/>
      <c r="L24" s="15"/>
    </row>
    <row r="25" spans="2:20" x14ac:dyDescent="0.25">
      <c r="I25" s="24"/>
      <c r="J25" s="24"/>
      <c r="K25" s="24"/>
      <c r="L25" s="15"/>
    </row>
    <row r="26" spans="2:20" x14ac:dyDescent="0.25">
      <c r="I26" s="24"/>
      <c r="J26" s="24"/>
      <c r="K26" s="24"/>
      <c r="L26" s="15"/>
    </row>
    <row r="27" spans="2:20" x14ac:dyDescent="0.25">
      <c r="I27" s="24"/>
      <c r="J27" s="24"/>
      <c r="K27" s="24"/>
      <c r="L27" s="15"/>
    </row>
    <row r="28" spans="2:20" x14ac:dyDescent="0.25">
      <c r="I28" s="24"/>
      <c r="J28" s="24"/>
      <c r="K28" s="24"/>
      <c r="L28" s="15"/>
    </row>
    <row r="29" spans="2:20" x14ac:dyDescent="0.25">
      <c r="I29" s="24"/>
      <c r="J29" s="24"/>
      <c r="K29" s="24"/>
      <c r="L29" s="15"/>
    </row>
    <row r="30" spans="2:20" x14ac:dyDescent="0.25">
      <c r="I30" s="24"/>
      <c r="J30" s="24"/>
      <c r="K30" s="24"/>
      <c r="L30" s="15"/>
    </row>
    <row r="31" spans="2:20" x14ac:dyDescent="0.25">
      <c r="I31" s="24"/>
      <c r="J31" s="24"/>
      <c r="K31" s="24"/>
      <c r="L31" s="15"/>
    </row>
    <row r="32" spans="2:20" x14ac:dyDescent="0.25">
      <c r="I32" s="24"/>
      <c r="J32" s="24"/>
      <c r="K32" s="24"/>
      <c r="L32" s="15"/>
    </row>
    <row r="33" spans="2:12" x14ac:dyDescent="0.25">
      <c r="I33" s="24"/>
      <c r="J33" s="24"/>
      <c r="K33" s="24"/>
      <c r="L33" s="15"/>
    </row>
    <row r="34" spans="2:12" x14ac:dyDescent="0.25">
      <c r="I34" s="24"/>
      <c r="J34" s="24"/>
      <c r="K34" s="24"/>
      <c r="L34" s="15"/>
    </row>
    <row r="35" spans="2:12" x14ac:dyDescent="0.25">
      <c r="B35" s="15"/>
      <c r="C35" s="15"/>
      <c r="D35" s="15"/>
      <c r="E35" s="15"/>
      <c r="I35" s="24"/>
      <c r="J35" s="24"/>
      <c r="K35" s="24"/>
      <c r="L35" s="15"/>
    </row>
    <row r="36" spans="2:12" x14ac:dyDescent="0.25">
      <c r="B36" s="15"/>
      <c r="C36" s="15"/>
      <c r="D36" s="15"/>
      <c r="E36" s="15"/>
      <c r="I36" s="24"/>
      <c r="J36" s="24"/>
      <c r="K36" s="24"/>
      <c r="L36" s="15"/>
    </row>
    <row r="37" spans="2:12" x14ac:dyDescent="0.25">
      <c r="B37" s="30"/>
      <c r="C37" s="30"/>
      <c r="D37" s="30"/>
      <c r="E37" s="15"/>
      <c r="I37" s="24"/>
      <c r="J37" s="24"/>
      <c r="K37" s="24"/>
      <c r="L37" s="15"/>
    </row>
    <row r="38" spans="2:12" x14ac:dyDescent="0.25">
      <c r="B38" s="24"/>
      <c r="C38" s="24"/>
      <c r="D38" s="24"/>
      <c r="E38" s="15"/>
      <c r="I38" s="24"/>
      <c r="J38" s="24"/>
      <c r="K38" s="24"/>
      <c r="L38" s="15"/>
    </row>
    <row r="39" spans="2:12" x14ac:dyDescent="0.25">
      <c r="B39" s="24"/>
      <c r="C39" s="24"/>
      <c r="D39" s="24"/>
      <c r="E39" s="15"/>
      <c r="I39" s="24"/>
      <c r="J39" s="24"/>
      <c r="K39" s="24"/>
      <c r="L39" s="15"/>
    </row>
    <row r="40" spans="2:12" x14ac:dyDescent="0.25">
      <c r="B40" s="24"/>
      <c r="C40" s="24"/>
      <c r="D40" s="24"/>
      <c r="E40" s="15"/>
      <c r="I40" s="24"/>
      <c r="J40" s="24"/>
      <c r="K40" s="24"/>
      <c r="L40" s="15"/>
    </row>
    <row r="41" spans="2:12" x14ac:dyDescent="0.25">
      <c r="B41" s="24"/>
      <c r="C41" s="24"/>
      <c r="D41" s="24"/>
      <c r="E41" s="15"/>
      <c r="I41" s="24"/>
      <c r="J41" s="24"/>
      <c r="K41" s="24"/>
      <c r="L41" s="15"/>
    </row>
    <row r="42" spans="2:12" x14ac:dyDescent="0.25">
      <c r="B42" s="24"/>
      <c r="C42" s="24"/>
      <c r="D42" s="24"/>
      <c r="E42" s="15"/>
      <c r="I42" s="24"/>
      <c r="J42" s="24"/>
      <c r="K42" s="24"/>
      <c r="L42" s="15"/>
    </row>
    <row r="43" spans="2:12" x14ac:dyDescent="0.25">
      <c r="B43" s="24"/>
      <c r="C43" s="24"/>
      <c r="D43" s="24"/>
      <c r="E43" s="15"/>
      <c r="I43" s="24"/>
      <c r="J43" s="24"/>
      <c r="K43" s="24"/>
      <c r="L43" s="15"/>
    </row>
    <row r="44" spans="2:12" x14ac:dyDescent="0.25">
      <c r="B44" s="24"/>
      <c r="C44" s="24"/>
      <c r="D44" s="24"/>
      <c r="E44" s="15"/>
      <c r="I44" s="15"/>
      <c r="J44" s="15"/>
      <c r="K44" s="15"/>
      <c r="L44" s="15"/>
    </row>
    <row r="45" spans="2:12" x14ac:dyDescent="0.25">
      <c r="B45" s="24"/>
      <c r="C45" s="24"/>
      <c r="D45" s="24"/>
      <c r="E45" s="15"/>
      <c r="I45" s="15"/>
      <c r="J45" s="15"/>
      <c r="K45" s="15"/>
      <c r="L45" s="15"/>
    </row>
    <row r="46" spans="2:12" x14ac:dyDescent="0.25">
      <c r="B46" s="15"/>
      <c r="C46" s="15"/>
      <c r="D46" s="15"/>
      <c r="E46" s="15"/>
    </row>
    <row r="47" spans="2:12" x14ac:dyDescent="0.25">
      <c r="B47" s="15"/>
      <c r="C47" s="15"/>
      <c r="D47" s="15"/>
      <c r="E47" s="15"/>
    </row>
  </sheetData>
  <sortState xmlns:xlrd2="http://schemas.microsoft.com/office/spreadsheetml/2017/richdata2" ref="B11:G19">
    <sortCondition ref="B11"/>
  </sortState>
  <mergeCells count="1">
    <mergeCell ref="L2:T2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B6:V51"/>
  <sheetViews>
    <sheetView showGridLines="0" zoomScale="90" zoomScaleNormal="90" workbookViewId="0">
      <selection activeCell="I10" sqref="I10:I11"/>
    </sheetView>
  </sheetViews>
  <sheetFormatPr defaultRowHeight="15" x14ac:dyDescent="0.25"/>
  <cols>
    <col min="2" max="2" width="8.5703125" customWidth="1"/>
    <col min="3" max="3" width="12.7109375" bestFit="1" customWidth="1"/>
    <col min="4" max="4" width="12.42578125" bestFit="1" customWidth="1"/>
    <col min="5" max="5" width="16.42578125" bestFit="1" customWidth="1"/>
    <col min="6" max="6" width="24" customWidth="1"/>
    <col min="7" max="7" width="15" bestFit="1" customWidth="1"/>
    <col min="8" max="8" width="14.140625" bestFit="1" customWidth="1"/>
    <col min="9" max="10" width="15.7109375" customWidth="1"/>
    <col min="11" max="11" width="19.42578125" customWidth="1"/>
    <col min="12" max="13" width="12.7109375" bestFit="1" customWidth="1"/>
    <col min="15" max="15" width="16" bestFit="1" customWidth="1"/>
    <col min="17" max="17" width="13.7109375" bestFit="1" customWidth="1"/>
    <col min="18" max="18" width="14.5703125" bestFit="1" customWidth="1"/>
  </cols>
  <sheetData>
    <row r="6" spans="2:22" ht="39" x14ac:dyDescent="0.25">
      <c r="B6" s="207" t="s">
        <v>106</v>
      </c>
      <c r="C6" s="207"/>
      <c r="D6" s="207"/>
      <c r="E6" s="207"/>
      <c r="F6" s="207"/>
      <c r="G6" s="207"/>
      <c r="H6" s="207"/>
      <c r="I6" s="207"/>
      <c r="J6" s="207"/>
      <c r="K6" s="207"/>
    </row>
    <row r="10" spans="2:22" x14ac:dyDescent="0.25">
      <c r="B10" s="205" t="s">
        <v>18</v>
      </c>
      <c r="C10" s="205" t="s">
        <v>73</v>
      </c>
      <c r="D10" s="205" t="s">
        <v>19</v>
      </c>
      <c r="E10" s="205" t="s">
        <v>20</v>
      </c>
      <c r="F10" s="205" t="s">
        <v>21</v>
      </c>
      <c r="G10" s="205" t="s">
        <v>74</v>
      </c>
      <c r="H10" s="92"/>
      <c r="I10" s="206" t="s">
        <v>25</v>
      </c>
      <c r="J10" s="94">
        <f>SLOPE(F11:F29,G11:G29)</f>
        <v>1.1794236479835711</v>
      </c>
      <c r="N10" s="236"/>
      <c r="O10" s="236"/>
      <c r="P10" s="236"/>
      <c r="Q10" s="236"/>
      <c r="R10" s="236"/>
      <c r="S10" s="236"/>
      <c r="T10" s="236"/>
      <c r="U10" s="236"/>
      <c r="V10" s="236"/>
    </row>
    <row r="11" spans="2:22" x14ac:dyDescent="0.25">
      <c r="B11" s="2">
        <v>1</v>
      </c>
      <c r="C11" s="9">
        <f xml:space="preserve"> IF( ISERROR( SMALL('Dados Falhas'!$C$11:$C$35, B11)), "", SMALL('Dados Falhas'!$C$11:$C$35, B11) )</f>
        <v>60</v>
      </c>
      <c r="D11" s="101">
        <f xml:space="preserve"> IF( B11 &gt; COUNT($C$11:$C$36), "", (B11 - 0.3) / (COUNT($C$11:$C$36) + 0.4) )</f>
        <v>3.6082474226804127E-2</v>
      </c>
      <c r="E11" s="22">
        <f>1/(1-D11)</f>
        <v>1.0374331550802138</v>
      </c>
      <c r="F11" s="22">
        <f t="shared" ref="F11:F29" si="0">LN(LN(E11))</f>
        <v>-3.3036295103058744</v>
      </c>
      <c r="G11" s="25">
        <f t="shared" ref="G11:G29" si="1">LN(C11)</f>
        <v>4.0943445622221004</v>
      </c>
      <c r="H11" s="93"/>
      <c r="I11" s="229" t="s">
        <v>24</v>
      </c>
      <c r="J11" s="94">
        <f>EXP(-(INTERCEPT(F11:F29,G11:G29)/J10))</f>
        <v>596.08273881005016</v>
      </c>
      <c r="N11" s="24"/>
      <c r="O11" s="24"/>
      <c r="P11" s="24"/>
      <c r="Q11" s="24"/>
      <c r="R11" s="24"/>
      <c r="S11" s="24"/>
      <c r="T11" s="24"/>
      <c r="U11" s="24"/>
      <c r="V11" s="24"/>
    </row>
    <row r="12" spans="2:22" x14ac:dyDescent="0.25">
      <c r="B12" s="2">
        <v>2</v>
      </c>
      <c r="C12" s="9">
        <f xml:space="preserve"> IF( ISERROR( SMALL('Dados Falhas'!$C$11:$C$35, B12)), "", SMALL('Dados Falhas'!$C$11:$C$35, B12) )</f>
        <v>95</v>
      </c>
      <c r="D12" s="101">
        <f xml:space="preserve"> IF( B12 &gt; COUNT($C$11:$C$36), "", (B12 - 0.3) / (COUNT($C$11:$C$36) + 0.4) )</f>
        <v>8.7628865979381451E-2</v>
      </c>
      <c r="E12" s="22">
        <f t="shared" ref="E12:E27" si="2">1/(1-D12)</f>
        <v>1.0960451977401131</v>
      </c>
      <c r="F12" s="22">
        <f t="shared" si="0"/>
        <v>-2.3891410120167773</v>
      </c>
      <c r="G12" s="25">
        <f t="shared" si="1"/>
        <v>4.5538768916005408</v>
      </c>
      <c r="H12" s="93"/>
      <c r="I12" s="230"/>
      <c r="N12" s="90"/>
      <c r="O12" s="90"/>
      <c r="P12" s="24"/>
      <c r="Q12" s="24"/>
      <c r="R12" s="24"/>
      <c r="S12" s="24"/>
      <c r="T12" s="24"/>
      <c r="U12" s="24"/>
      <c r="V12" s="24"/>
    </row>
    <row r="13" spans="2:22" x14ac:dyDescent="0.25">
      <c r="B13" s="2">
        <v>3</v>
      </c>
      <c r="C13" s="9">
        <f xml:space="preserve"> IF( ISERROR( SMALL('Dados Falhas'!$C$11:$C$35, B13)), "", SMALL('Dados Falhas'!$C$11:$C$35, B13) )</f>
        <v>115</v>
      </c>
      <c r="D13" s="101">
        <f xml:space="preserve"> IF( B13 &gt; COUNT($C$11:$C$36), "", (B13 - 0.3) / (COUNT($C$11:$C$36) + 0.4) )</f>
        <v>0.1391752577319588</v>
      </c>
      <c r="E13" s="22">
        <f t="shared" si="2"/>
        <v>1.1616766467065869</v>
      </c>
      <c r="F13" s="22">
        <f t="shared" si="0"/>
        <v>-1.8980247497517133</v>
      </c>
      <c r="G13" s="25">
        <f t="shared" si="1"/>
        <v>4.7449321283632502</v>
      </c>
      <c r="H13" s="93"/>
      <c r="I13" s="91"/>
      <c r="N13" s="24"/>
      <c r="O13" s="24"/>
      <c r="P13" s="24"/>
      <c r="Q13" s="24"/>
      <c r="R13" s="24"/>
      <c r="S13" s="24"/>
      <c r="T13" s="24"/>
      <c r="U13" s="24"/>
      <c r="V13" s="24"/>
    </row>
    <row r="14" spans="2:22" x14ac:dyDescent="0.25">
      <c r="B14" s="2">
        <v>4</v>
      </c>
      <c r="C14" s="9">
        <f xml:space="preserve"> IF( ISERROR( SMALL('Dados Falhas'!$C$11:$C$35, B14)), "", SMALL('Dados Falhas'!$C$11:$C$35, B14) )</f>
        <v>150</v>
      </c>
      <c r="D14" s="101">
        <f t="shared" ref="D14:D27" si="3" xml:space="preserve"> IF( B14 &gt; COUNT($C$11:$C$36), "", (B14 - 0.3) / (COUNT($C$11:$C$36) + 0.4) )</f>
        <v>0.1907216494845361</v>
      </c>
      <c r="E14" s="22">
        <f t="shared" si="2"/>
        <v>1.2356687898089171</v>
      </c>
      <c r="F14" s="22">
        <f t="shared" si="0"/>
        <v>-1.5529991983060536</v>
      </c>
      <c r="G14" s="25">
        <f t="shared" si="1"/>
        <v>5.0106352940962555</v>
      </c>
      <c r="H14" s="93"/>
      <c r="I14" s="91"/>
      <c r="N14" s="24"/>
      <c r="O14" s="24"/>
      <c r="P14" s="24"/>
      <c r="Q14" s="24"/>
      <c r="R14" s="24"/>
      <c r="S14" s="24"/>
      <c r="T14" s="24"/>
      <c r="U14" s="24"/>
      <c r="V14" s="24"/>
    </row>
    <row r="15" spans="2:22" x14ac:dyDescent="0.25">
      <c r="B15" s="2">
        <v>5</v>
      </c>
      <c r="C15" s="9">
        <f xml:space="preserve"> IF( ISERROR( SMALL('Dados Falhas'!$C$11:$C$35, B15)), "", SMALL('Dados Falhas'!$C$11:$C$35, B15) )</f>
        <v>165</v>
      </c>
      <c r="D15" s="101">
        <f t="shared" si="3"/>
        <v>0.24226804123711343</v>
      </c>
      <c r="E15" s="22">
        <f t="shared" si="2"/>
        <v>1.3197278911564627</v>
      </c>
      <c r="F15" s="22">
        <f t="shared" si="0"/>
        <v>-1.282202589753294</v>
      </c>
      <c r="G15" s="25">
        <f t="shared" si="1"/>
        <v>5.1059454739005803</v>
      </c>
      <c r="H15" s="93"/>
      <c r="I15" s="91"/>
      <c r="N15" s="24"/>
      <c r="O15" s="24"/>
      <c r="P15" s="24"/>
      <c r="Q15" s="24"/>
      <c r="R15" s="24"/>
      <c r="S15" s="24"/>
      <c r="T15" s="24"/>
      <c r="U15" s="24"/>
      <c r="V15" s="24"/>
    </row>
    <row r="16" spans="2:22" x14ac:dyDescent="0.25">
      <c r="B16" s="2">
        <v>6</v>
      </c>
      <c r="C16" s="9">
        <f xml:space="preserve"> IF( ISERROR( SMALL('Dados Falhas'!$C$11:$C$35, B16)), "", SMALL('Dados Falhas'!$C$11:$C$35, B16) )</f>
        <v>205</v>
      </c>
      <c r="D16" s="101">
        <f t="shared" si="3"/>
        <v>0.29381443298969073</v>
      </c>
      <c r="E16" s="22">
        <f t="shared" si="2"/>
        <v>1.416058394160584</v>
      </c>
      <c r="F16" s="22">
        <f t="shared" si="0"/>
        <v>-1.0559056395082418</v>
      </c>
      <c r="G16" s="25">
        <f t="shared" si="1"/>
        <v>5.3230099791384085</v>
      </c>
      <c r="H16" s="93"/>
      <c r="I16" s="31" t="s">
        <v>26</v>
      </c>
      <c r="J16" s="84">
        <v>900</v>
      </c>
      <c r="K16" s="91"/>
      <c r="L16" s="91"/>
      <c r="M16" s="95"/>
      <c r="N16" s="24"/>
      <c r="O16" s="24"/>
      <c r="P16" s="24"/>
      <c r="Q16" s="24"/>
      <c r="R16" s="24"/>
      <c r="S16" s="24"/>
      <c r="T16" s="24"/>
      <c r="U16" s="24"/>
      <c r="V16" s="24"/>
    </row>
    <row r="17" spans="2:22" x14ac:dyDescent="0.25">
      <c r="B17" s="2">
        <v>7</v>
      </c>
      <c r="C17" s="9">
        <f xml:space="preserve"> IF( ISERROR( SMALL('Dados Falhas'!$C$11:$C$35, B17)), "", SMALL('Dados Falhas'!$C$11:$C$35, B17) )</f>
        <v>270</v>
      </c>
      <c r="D17" s="101">
        <f t="shared" si="3"/>
        <v>0.34536082474226809</v>
      </c>
      <c r="E17" s="22">
        <f t="shared" si="2"/>
        <v>1.5275590551181104</v>
      </c>
      <c r="F17" s="22">
        <f t="shared" si="0"/>
        <v>-0.85879789697575593</v>
      </c>
      <c r="G17" s="25">
        <f t="shared" si="1"/>
        <v>5.598421958998375</v>
      </c>
      <c r="H17" s="93"/>
      <c r="I17" s="31" t="s">
        <v>9</v>
      </c>
      <c r="J17" s="37">
        <f>EXP(-((J16/$J$11)^$J$10))</f>
        <v>0.19677322144290393</v>
      </c>
      <c r="K17" s="91"/>
      <c r="L17" s="91"/>
      <c r="M17" s="95"/>
      <c r="N17" s="24"/>
      <c r="O17" s="24"/>
      <c r="P17" s="24"/>
      <c r="Q17" s="24"/>
      <c r="R17" s="24"/>
      <c r="S17" s="24"/>
      <c r="T17" s="24"/>
      <c r="U17" s="24"/>
      <c r="V17" s="24"/>
    </row>
    <row r="18" spans="2:22" x14ac:dyDescent="0.25">
      <c r="B18" s="2">
        <v>8</v>
      </c>
      <c r="C18" s="9">
        <f xml:space="preserve"> IF( ISERROR( SMALL('Dados Falhas'!$C$11:$C$35, B18)), "", SMALL('Dados Falhas'!$C$11:$C$35, B18) )</f>
        <v>275</v>
      </c>
      <c r="D18" s="101">
        <f t="shared" si="3"/>
        <v>0.39690721649484539</v>
      </c>
      <c r="E18" s="22">
        <f t="shared" si="2"/>
        <v>1.6581196581196582</v>
      </c>
      <c r="F18" s="22">
        <f t="shared" si="0"/>
        <v>-0.6818428672191218</v>
      </c>
      <c r="G18" s="25">
        <f t="shared" si="1"/>
        <v>5.6167710976665717</v>
      </c>
      <c r="H18" s="93"/>
      <c r="I18" s="91"/>
      <c r="K18" s="95"/>
      <c r="L18" s="95"/>
      <c r="M18" s="95"/>
      <c r="N18" s="24"/>
      <c r="O18" s="24"/>
      <c r="P18" s="24"/>
      <c r="Q18" s="24"/>
      <c r="R18" s="24"/>
      <c r="S18" s="24"/>
      <c r="T18" s="24"/>
      <c r="U18" s="24"/>
      <c r="V18" s="24"/>
    </row>
    <row r="19" spans="2:22" x14ac:dyDescent="0.25">
      <c r="B19" s="2">
        <v>9</v>
      </c>
      <c r="C19" s="9">
        <f xml:space="preserve"> IF( ISERROR( SMALL('Dados Falhas'!$C$11:$C$35, B19)), "", SMALL('Dados Falhas'!$C$11:$C$35, B19) )</f>
        <v>299</v>
      </c>
      <c r="D19" s="101">
        <f t="shared" si="3"/>
        <v>0.4484536082474227</v>
      </c>
      <c r="E19" s="22">
        <f t="shared" si="2"/>
        <v>1.8130841121495327</v>
      </c>
      <c r="F19" s="22">
        <f t="shared" si="0"/>
        <v>-0.51914458960656851</v>
      </c>
      <c r="G19" s="25">
        <f t="shared" si="1"/>
        <v>5.7004435733906869</v>
      </c>
      <c r="H19" s="93"/>
      <c r="I19" s="91"/>
      <c r="K19" s="95"/>
      <c r="L19" s="95"/>
      <c r="M19" s="95"/>
      <c r="N19" s="24"/>
      <c r="O19" s="24"/>
      <c r="P19" s="24"/>
      <c r="Q19" s="24"/>
      <c r="R19" s="24"/>
      <c r="S19" s="24"/>
      <c r="T19" s="24"/>
      <c r="U19" s="24"/>
      <c r="V19" s="24"/>
    </row>
    <row r="20" spans="2:22" x14ac:dyDescent="0.25">
      <c r="B20" s="2">
        <v>10</v>
      </c>
      <c r="C20" s="9">
        <f xml:space="preserve"> IF( ISERROR( SMALL('Dados Falhas'!$C$11:$C$35, B20)), "", SMALL('Dados Falhas'!$C$11:$C$35, B20) )</f>
        <v>300</v>
      </c>
      <c r="D20" s="101">
        <f t="shared" si="3"/>
        <v>0.5</v>
      </c>
      <c r="E20" s="22">
        <f t="shared" si="2"/>
        <v>2</v>
      </c>
      <c r="F20" s="22">
        <f t="shared" si="0"/>
        <v>-0.36651292058166435</v>
      </c>
      <c r="G20" s="25">
        <f t="shared" si="1"/>
        <v>5.7037824746562009</v>
      </c>
      <c r="H20" s="93"/>
      <c r="I20" s="91"/>
      <c r="K20" s="95"/>
      <c r="L20" s="95"/>
      <c r="M20" s="95"/>
      <c r="N20" s="90"/>
      <c r="O20" s="90"/>
      <c r="P20" s="90"/>
      <c r="Q20" s="90"/>
      <c r="R20" s="90"/>
      <c r="S20" s="90"/>
      <c r="T20" s="24"/>
      <c r="U20" s="24"/>
      <c r="V20" s="24"/>
    </row>
    <row r="21" spans="2:22" x14ac:dyDescent="0.25">
      <c r="B21" s="2">
        <v>11</v>
      </c>
      <c r="C21" s="9">
        <f xml:space="preserve"> IF( ISERROR( SMALL('Dados Falhas'!$C$11:$C$35, B21)), "", SMALL('Dados Falhas'!$C$11:$C$35, B21) )</f>
        <v>485</v>
      </c>
      <c r="D21" s="101">
        <f t="shared" si="3"/>
        <v>0.55154639175257736</v>
      </c>
      <c r="E21" s="22">
        <f t="shared" si="2"/>
        <v>2.2298850574712645</v>
      </c>
      <c r="F21" s="22">
        <f t="shared" si="0"/>
        <v>-0.22070896681064173</v>
      </c>
      <c r="G21" s="25">
        <f t="shared" si="1"/>
        <v>6.1841488909374833</v>
      </c>
      <c r="H21" s="93"/>
      <c r="I21" s="91"/>
      <c r="N21" s="24"/>
      <c r="O21" s="24"/>
      <c r="P21" s="24"/>
      <c r="Q21" s="24"/>
      <c r="R21" s="24"/>
      <c r="S21" s="24"/>
      <c r="T21" s="24"/>
      <c r="U21" s="24"/>
      <c r="V21" s="24"/>
    </row>
    <row r="22" spans="2:22" x14ac:dyDescent="0.25">
      <c r="B22" s="2">
        <v>12</v>
      </c>
      <c r="C22" s="9">
        <f xml:space="preserve"> IF( ISERROR( SMALL('Dados Falhas'!$C$11:$C$35, B22)), "", SMALL('Dados Falhas'!$C$11:$C$35, B22) )</f>
        <v>560</v>
      </c>
      <c r="D22" s="101">
        <f t="shared" si="3"/>
        <v>0.60309278350515461</v>
      </c>
      <c r="E22" s="22">
        <f t="shared" si="2"/>
        <v>2.5194805194805192</v>
      </c>
      <c r="F22" s="22">
        <f t="shared" si="0"/>
        <v>-7.8986134066950806E-2</v>
      </c>
      <c r="G22" s="25">
        <f t="shared" si="1"/>
        <v>6.3279367837291947</v>
      </c>
      <c r="H22" s="93"/>
      <c r="I22" s="91"/>
      <c r="N22" s="24"/>
      <c r="O22" s="24"/>
      <c r="P22" s="24"/>
      <c r="Q22" s="24"/>
      <c r="R22" s="24"/>
      <c r="S22" s="24"/>
      <c r="T22" s="24"/>
      <c r="U22" s="24"/>
      <c r="V22" s="24"/>
    </row>
    <row r="23" spans="2:22" x14ac:dyDescent="0.25">
      <c r="B23" s="2">
        <v>13</v>
      </c>
      <c r="C23" s="9">
        <f xml:space="preserve"> IF( ISERROR( SMALL('Dados Falhas'!$C$11:$C$35, B23)), "", SMALL('Dados Falhas'!$C$11:$C$35, B23) )</f>
        <v>670</v>
      </c>
      <c r="D23" s="101">
        <f t="shared" si="3"/>
        <v>0.65463917525773196</v>
      </c>
      <c r="E23" s="22">
        <f t="shared" si="2"/>
        <v>2.8955223880597014</v>
      </c>
      <c r="F23" s="22">
        <f t="shared" si="0"/>
        <v>6.1250815995799672E-2</v>
      </c>
      <c r="G23" s="25">
        <f t="shared" si="1"/>
        <v>6.5072777123850116</v>
      </c>
      <c r="H23" s="93"/>
      <c r="I23" s="91"/>
      <c r="N23" s="24"/>
      <c r="O23" s="24"/>
      <c r="P23" s="24"/>
      <c r="Q23" s="24"/>
      <c r="R23" s="24"/>
      <c r="S23" s="24"/>
      <c r="T23" s="24"/>
      <c r="U23" s="24"/>
      <c r="V23" s="24"/>
    </row>
    <row r="24" spans="2:22" x14ac:dyDescent="0.25">
      <c r="B24" s="2">
        <v>14</v>
      </c>
      <c r="C24" s="9">
        <f xml:space="preserve"> IF( ISERROR( SMALL('Dados Falhas'!$C$11:$C$35, B24)), "", SMALL('Dados Falhas'!$C$11:$C$35, B24) )</f>
        <v>885</v>
      </c>
      <c r="D24" s="101">
        <f t="shared" si="3"/>
        <v>0.70618556701030932</v>
      </c>
      <c r="E24" s="22">
        <f t="shared" si="2"/>
        <v>3.4035087719298249</v>
      </c>
      <c r="F24" s="22">
        <f t="shared" si="0"/>
        <v>0.2027831917569867</v>
      </c>
      <c r="G24" s="25">
        <f t="shared" si="1"/>
        <v>6.7855876450079293</v>
      </c>
      <c r="H24" s="93"/>
      <c r="I24" s="91"/>
      <c r="N24" s="24"/>
      <c r="O24" s="24"/>
      <c r="P24" s="24"/>
      <c r="Q24" s="24"/>
      <c r="R24" s="24"/>
      <c r="S24" s="24"/>
      <c r="T24" s="24"/>
      <c r="U24" s="24"/>
      <c r="V24" s="24"/>
    </row>
    <row r="25" spans="2:22" x14ac:dyDescent="0.25">
      <c r="B25" s="2">
        <v>15</v>
      </c>
      <c r="C25" s="9">
        <f xml:space="preserve"> IF( ISERROR( SMALL('Dados Falhas'!$C$11:$C$35, B25)), "", SMALL('Dados Falhas'!$C$11:$C$35, B25) )</f>
        <v>1020</v>
      </c>
      <c r="D25" s="101">
        <f t="shared" si="3"/>
        <v>0.75773195876288657</v>
      </c>
      <c r="E25" s="22">
        <f t="shared" si="2"/>
        <v>4.1276595744680851</v>
      </c>
      <c r="F25" s="22">
        <f t="shared" si="0"/>
        <v>0.34904328693129177</v>
      </c>
      <c r="G25" s="25">
        <f t="shared" si="1"/>
        <v>6.9275579062783166</v>
      </c>
      <c r="H25" s="93"/>
      <c r="I25" s="91"/>
      <c r="N25" s="90"/>
      <c r="O25" s="90"/>
      <c r="P25" s="90"/>
      <c r="Q25" s="90"/>
      <c r="R25" s="90"/>
      <c r="S25" s="90"/>
      <c r="T25" s="90"/>
      <c r="U25" s="90"/>
      <c r="V25" s="90"/>
    </row>
    <row r="26" spans="2:22" x14ac:dyDescent="0.25">
      <c r="B26" s="2">
        <v>16</v>
      </c>
      <c r="C26" s="9">
        <f xml:space="preserve"> IF( ISERROR( SMALL('Dados Falhas'!$C$11:$C$35, B26)), "", SMALL('Dados Falhas'!$C$11:$C$35, B26) )</f>
        <v>1093</v>
      </c>
      <c r="D26" s="101">
        <f t="shared" si="3"/>
        <v>0.80927835051546393</v>
      </c>
      <c r="E26" s="22">
        <f t="shared" si="2"/>
        <v>5.2432432432432439</v>
      </c>
      <c r="F26" s="22">
        <f t="shared" si="0"/>
        <v>0.50497267649009991</v>
      </c>
      <c r="G26" s="25">
        <f t="shared" si="1"/>
        <v>6.9966814881765389</v>
      </c>
      <c r="H26" s="93"/>
      <c r="I26" s="91"/>
      <c r="N26" s="24"/>
      <c r="O26" s="24"/>
      <c r="P26" s="24"/>
      <c r="Q26" s="24"/>
      <c r="R26" s="24"/>
      <c r="S26" s="24"/>
      <c r="T26" s="24"/>
      <c r="U26" s="24"/>
      <c r="V26" s="24"/>
    </row>
    <row r="27" spans="2:22" x14ac:dyDescent="0.25">
      <c r="B27" s="2">
        <v>17</v>
      </c>
      <c r="C27" s="9">
        <f xml:space="preserve"> IF( ISERROR( SMALL('Dados Falhas'!$C$11:$C$35, B27)), "", SMALL('Dados Falhas'!$C$11:$C$35, B27) )</f>
        <v>1185</v>
      </c>
      <c r="D27" s="101">
        <f t="shared" si="3"/>
        <v>0.86082474226804129</v>
      </c>
      <c r="E27" s="22">
        <f t="shared" si="2"/>
        <v>7.1851851851851878</v>
      </c>
      <c r="F27" s="22">
        <f t="shared" si="0"/>
        <v>0.67905905381941023</v>
      </c>
      <c r="G27" s="25">
        <f t="shared" si="1"/>
        <v>7.0774980535692311</v>
      </c>
      <c r="H27" s="93"/>
      <c r="I27" s="91"/>
      <c r="N27" s="24"/>
      <c r="O27" s="24"/>
      <c r="P27" s="24"/>
      <c r="Q27" s="24"/>
      <c r="R27" s="24"/>
      <c r="S27" s="24"/>
      <c r="T27" s="24"/>
      <c r="U27" s="24"/>
      <c r="V27" s="24"/>
    </row>
    <row r="28" spans="2:22" x14ac:dyDescent="0.25">
      <c r="B28" s="2">
        <v>18</v>
      </c>
      <c r="C28" s="9">
        <f xml:space="preserve"> IF( ISERROR( SMALL('Dados Falhas'!$C$11:$C$35, B28)), "", SMALL('Dados Falhas'!$C$11:$C$35, B28) )</f>
        <v>1320</v>
      </c>
      <c r="D28" s="101">
        <f xml:space="preserve"> IF( B28 &gt; COUNT($C$11:$C$36), "", (B28 - 0.3) / (COUNT($C$11:$C$36) + 0.4) )</f>
        <v>0.91237113402061853</v>
      </c>
      <c r="E28" s="22">
        <f>1/(1-D28)</f>
        <v>11.41176470588235</v>
      </c>
      <c r="F28" s="22">
        <f t="shared" si="0"/>
        <v>0.88980087936814312</v>
      </c>
      <c r="G28" s="25">
        <f t="shared" si="1"/>
        <v>7.1853870155804165</v>
      </c>
      <c r="H28" s="93"/>
      <c r="I28" s="91"/>
      <c r="N28" s="24"/>
      <c r="O28" s="24"/>
      <c r="P28" s="24"/>
      <c r="Q28" s="24"/>
      <c r="R28" s="24"/>
      <c r="S28" s="24"/>
      <c r="T28" s="24"/>
      <c r="U28" s="24"/>
      <c r="V28" s="24"/>
    </row>
    <row r="29" spans="2:22" x14ac:dyDescent="0.25">
      <c r="B29" s="2">
        <v>19</v>
      </c>
      <c r="C29" s="9">
        <f xml:space="preserve"> IF( ISERROR( SMALL('Dados Falhas'!$C$11:$C$35, B29)), "", SMALL('Dados Falhas'!$C$11:$C$35, B29) )</f>
        <v>1370</v>
      </c>
      <c r="D29" s="101">
        <f xml:space="preserve"> IF( B29 &gt; COUNT($C$11:$C$36), "", (B29 - 0.3) / (COUNT($C$11:$C$36) + 0.4) )</f>
        <v>0.96391752577319589</v>
      </c>
      <c r="E29" s="22">
        <f>1/(1-D29)</f>
        <v>27.714285714285726</v>
      </c>
      <c r="F29" s="22">
        <f t="shared" si="0"/>
        <v>1.2005513608603338</v>
      </c>
      <c r="G29" s="25">
        <f t="shared" si="1"/>
        <v>7.222566018822171</v>
      </c>
      <c r="H29" s="93"/>
      <c r="I29" s="91"/>
    </row>
    <row r="30" spans="2:22" x14ac:dyDescent="0.25">
      <c r="K30" s="15"/>
      <c r="L30" s="15"/>
      <c r="M30" s="15"/>
    </row>
    <row r="31" spans="2:22" x14ac:dyDescent="0.25">
      <c r="B31" s="69"/>
      <c r="C31" s="26"/>
      <c r="D31" s="20"/>
      <c r="E31" s="27"/>
      <c r="F31" s="27"/>
      <c r="G31" s="27"/>
      <c r="H31" s="69"/>
      <c r="I31" s="69"/>
      <c r="K31" s="15"/>
      <c r="L31" s="15"/>
      <c r="M31" s="15"/>
    </row>
    <row r="32" spans="2:22" x14ac:dyDescent="0.25">
      <c r="B32" s="69"/>
      <c r="C32" s="26"/>
      <c r="D32" s="20"/>
      <c r="E32" s="27"/>
      <c r="F32" s="27"/>
      <c r="G32" s="27"/>
      <c r="H32" s="69"/>
      <c r="I32" s="69"/>
      <c r="K32" s="30"/>
      <c r="L32" s="30"/>
      <c r="M32" s="30"/>
    </row>
    <row r="33" spans="2:13" x14ac:dyDescent="0.25">
      <c r="B33" s="69"/>
      <c r="C33" s="26"/>
      <c r="D33" s="20"/>
      <c r="E33" s="27"/>
      <c r="F33" s="27"/>
      <c r="G33" s="27"/>
      <c r="H33" s="69"/>
      <c r="I33" s="69"/>
      <c r="K33" s="24"/>
      <c r="L33" s="24"/>
      <c r="M33" s="24"/>
    </row>
    <row r="34" spans="2:13" x14ac:dyDescent="0.25">
      <c r="B34" s="69"/>
      <c r="C34" s="26"/>
      <c r="D34" s="20"/>
      <c r="E34" s="27"/>
      <c r="F34" s="27"/>
      <c r="G34" s="27"/>
      <c r="H34" s="69"/>
      <c r="I34" s="69"/>
      <c r="K34" s="24"/>
      <c r="L34" s="24"/>
      <c r="M34" s="24"/>
    </row>
    <row r="35" spans="2:13" x14ac:dyDescent="0.25">
      <c r="B35" s="69"/>
      <c r="C35" s="26"/>
      <c r="D35" s="20"/>
      <c r="E35" s="27"/>
      <c r="F35" s="27"/>
      <c r="G35" s="27"/>
      <c r="H35" s="69"/>
      <c r="I35" s="69"/>
      <c r="K35" s="24"/>
      <c r="L35" s="24"/>
      <c r="M35" s="24"/>
    </row>
    <row r="36" spans="2:13" x14ac:dyDescent="0.25">
      <c r="B36" s="69"/>
      <c r="C36" s="26"/>
      <c r="D36" s="20"/>
      <c r="E36" s="27"/>
      <c r="F36" s="27"/>
      <c r="G36" s="27"/>
      <c r="H36" s="69"/>
      <c r="I36" s="69"/>
      <c r="K36" s="24"/>
      <c r="L36" s="24"/>
      <c r="M36" s="24"/>
    </row>
    <row r="37" spans="2:13" x14ac:dyDescent="0.25">
      <c r="K37" s="24"/>
      <c r="L37" s="24"/>
      <c r="M37" s="24"/>
    </row>
    <row r="38" spans="2:13" x14ac:dyDescent="0.25">
      <c r="K38" s="24"/>
      <c r="L38" s="24"/>
      <c r="M38" s="24"/>
    </row>
    <row r="39" spans="2:13" x14ac:dyDescent="0.25">
      <c r="K39" s="24"/>
      <c r="L39" s="24"/>
      <c r="M39" s="24"/>
    </row>
    <row r="40" spans="2:13" x14ac:dyDescent="0.25">
      <c r="K40" s="24"/>
      <c r="L40" s="24"/>
      <c r="M40" s="24"/>
    </row>
    <row r="41" spans="2:13" x14ac:dyDescent="0.25">
      <c r="K41" s="24"/>
      <c r="L41" s="24"/>
      <c r="M41" s="24"/>
    </row>
    <row r="42" spans="2:13" x14ac:dyDescent="0.25">
      <c r="K42" s="24"/>
      <c r="L42" s="24"/>
      <c r="M42" s="24"/>
    </row>
    <row r="43" spans="2:13" x14ac:dyDescent="0.25">
      <c r="K43" s="24"/>
      <c r="L43" s="24"/>
      <c r="M43" s="24"/>
    </row>
    <row r="44" spans="2:13" x14ac:dyDescent="0.25">
      <c r="K44" s="24"/>
      <c r="L44" s="24"/>
      <c r="M44" s="24"/>
    </row>
    <row r="45" spans="2:13" x14ac:dyDescent="0.25">
      <c r="K45" s="24"/>
      <c r="L45" s="24"/>
      <c r="M45" s="24"/>
    </row>
    <row r="46" spans="2:13" x14ac:dyDescent="0.25">
      <c r="K46" s="24"/>
      <c r="L46" s="24"/>
      <c r="M46" s="24"/>
    </row>
    <row r="47" spans="2:13" x14ac:dyDescent="0.25">
      <c r="K47" s="24"/>
      <c r="L47" s="24"/>
      <c r="M47" s="24"/>
    </row>
    <row r="48" spans="2:13" x14ac:dyDescent="0.25">
      <c r="K48" s="24"/>
      <c r="L48" s="24"/>
      <c r="M48" s="24"/>
    </row>
    <row r="49" spans="11:13" x14ac:dyDescent="0.25">
      <c r="K49" s="24"/>
      <c r="L49" s="24"/>
      <c r="M49" s="24"/>
    </row>
    <row r="50" spans="11:13" x14ac:dyDescent="0.25">
      <c r="K50" s="24"/>
      <c r="L50" s="24"/>
      <c r="M50" s="24"/>
    </row>
    <row r="51" spans="11:13" x14ac:dyDescent="0.25">
      <c r="K51" s="24"/>
      <c r="L51" s="24"/>
      <c r="M51" s="24"/>
    </row>
  </sheetData>
  <sortState xmlns:xlrd2="http://schemas.microsoft.com/office/spreadsheetml/2017/richdata2" ref="C11:G36">
    <sortCondition ref="C11"/>
  </sortState>
  <mergeCells count="1">
    <mergeCell ref="N10:V10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2:U47"/>
  <sheetViews>
    <sheetView showGridLines="0" zoomScaleNormal="100" workbookViewId="0">
      <selection activeCell="I10" sqref="I10:I11"/>
    </sheetView>
  </sheetViews>
  <sheetFormatPr defaultRowHeight="15" x14ac:dyDescent="0.25"/>
  <cols>
    <col min="2" max="2" width="11.28515625" customWidth="1"/>
    <col min="3" max="3" width="13.7109375" bestFit="1" customWidth="1"/>
    <col min="4" max="4" width="14.28515625" bestFit="1" customWidth="1"/>
    <col min="5" max="5" width="18.140625" bestFit="1" customWidth="1"/>
    <col min="6" max="6" width="26.28515625" bestFit="1" customWidth="1"/>
    <col min="7" max="7" width="16.42578125" bestFit="1" customWidth="1"/>
    <col min="8" max="10" width="15.7109375" customWidth="1"/>
    <col min="11" max="11" width="12.7109375" bestFit="1" customWidth="1"/>
    <col min="13" max="13" width="16" bestFit="1" customWidth="1"/>
    <col min="15" max="15" width="13.7109375" bestFit="1" customWidth="1"/>
    <col min="16" max="17" width="14.5703125" bestFit="1" customWidth="1"/>
  </cols>
  <sheetData>
    <row r="2" spans="2:21" x14ac:dyDescent="0.25">
      <c r="L2" s="238"/>
      <c r="M2" s="238"/>
      <c r="N2" s="238"/>
      <c r="O2" s="238"/>
      <c r="P2" s="238"/>
      <c r="Q2" s="238"/>
      <c r="R2" s="238"/>
      <c r="S2" s="238"/>
      <c r="T2" s="97"/>
      <c r="U2" s="97"/>
    </row>
    <row r="3" spans="2:21" x14ac:dyDescent="0.25">
      <c r="L3" s="97"/>
      <c r="M3" s="97"/>
      <c r="N3" s="97"/>
      <c r="O3" s="97"/>
      <c r="P3" s="97"/>
      <c r="Q3" s="97"/>
      <c r="R3" s="97"/>
      <c r="S3" s="97"/>
      <c r="T3" s="97"/>
      <c r="U3" s="97"/>
    </row>
    <row r="4" spans="2:21" x14ac:dyDescent="0.25">
      <c r="L4" s="98"/>
      <c r="M4" s="98"/>
      <c r="N4" s="97"/>
      <c r="O4" s="97"/>
      <c r="P4" s="97"/>
      <c r="Q4" s="97"/>
      <c r="R4" s="97"/>
      <c r="S4" s="97"/>
      <c r="T4" s="97"/>
      <c r="U4" s="97"/>
    </row>
    <row r="5" spans="2:21" x14ac:dyDescent="0.25">
      <c r="L5" s="99"/>
      <c r="M5" s="99"/>
      <c r="N5" s="97"/>
      <c r="O5" s="97"/>
      <c r="P5" s="97"/>
      <c r="Q5" s="97"/>
      <c r="R5" s="97"/>
      <c r="S5" s="97"/>
      <c r="T5" s="97"/>
      <c r="U5" s="97"/>
    </row>
    <row r="6" spans="2:21" ht="39" x14ac:dyDescent="0.25">
      <c r="B6" s="207" t="s">
        <v>108</v>
      </c>
      <c r="C6" s="207"/>
      <c r="D6" s="207"/>
      <c r="E6" s="207"/>
      <c r="F6" s="207"/>
      <c r="G6" s="207"/>
      <c r="H6" s="207"/>
      <c r="I6" s="207"/>
      <c r="J6" s="207"/>
      <c r="K6" s="207"/>
      <c r="L6" s="99"/>
      <c r="M6" s="99"/>
      <c r="N6" s="97"/>
      <c r="O6" s="97"/>
      <c r="P6" s="97"/>
      <c r="Q6" s="97"/>
      <c r="R6" s="97"/>
      <c r="S6" s="97"/>
      <c r="T6" s="97"/>
      <c r="U6" s="97"/>
    </row>
    <row r="7" spans="2:21" x14ac:dyDescent="0.25">
      <c r="L7" s="99"/>
      <c r="M7" s="99"/>
      <c r="N7" s="97"/>
      <c r="O7" s="97"/>
      <c r="P7" s="97"/>
      <c r="Q7" s="97"/>
      <c r="R7" s="97"/>
      <c r="S7" s="97"/>
      <c r="T7" s="97"/>
      <c r="U7" s="97"/>
    </row>
    <row r="8" spans="2:21" x14ac:dyDescent="0.25">
      <c r="L8" s="99"/>
      <c r="M8" s="99"/>
      <c r="N8" s="97"/>
      <c r="O8" s="97"/>
      <c r="P8" s="97"/>
      <c r="Q8" s="97"/>
      <c r="R8" s="97"/>
      <c r="S8" s="97"/>
      <c r="T8" s="97"/>
      <c r="U8" s="97"/>
    </row>
    <row r="9" spans="2:21" x14ac:dyDescent="0.25">
      <c r="L9" s="99"/>
      <c r="M9" s="99"/>
      <c r="N9" s="97"/>
      <c r="O9" s="97"/>
      <c r="P9" s="97"/>
      <c r="Q9" s="97"/>
      <c r="R9" s="97"/>
      <c r="S9" s="97"/>
      <c r="T9" s="97"/>
      <c r="U9" s="97"/>
    </row>
    <row r="10" spans="2:21" x14ac:dyDescent="0.25">
      <c r="B10" s="31" t="s">
        <v>18</v>
      </c>
      <c r="C10" s="231" t="s">
        <v>17</v>
      </c>
      <c r="D10" s="231" t="s">
        <v>19</v>
      </c>
      <c r="E10" s="31" t="s">
        <v>20</v>
      </c>
      <c r="F10" s="31" t="s">
        <v>21</v>
      </c>
      <c r="G10" s="31" t="s">
        <v>22</v>
      </c>
      <c r="I10" s="206" t="s">
        <v>25</v>
      </c>
      <c r="J10" s="37">
        <f>SLOPE(F11:F24,G11:G24)</f>
        <v>1.0335909130265837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</row>
    <row r="11" spans="2:21" x14ac:dyDescent="0.25">
      <c r="B11" s="10">
        <v>1</v>
      </c>
      <c r="C11" s="104">
        <f>IF(ISERROR(SMALL('Dados Falhas'!$E$11:$E$24,B11)),"",SMALL('Dados Falhas'!$E$11:$E$24,B11))</f>
        <v>65</v>
      </c>
      <c r="D11" s="107">
        <f>(B11-0.3)/(COUNT($B$11:$B$24)+0.4)</f>
        <v>4.8611111111111105E-2</v>
      </c>
      <c r="E11" s="32">
        <f t="shared" ref="E11:E24" si="0">1/(1-D11)</f>
        <v>1.051094890510949</v>
      </c>
      <c r="F11" s="29">
        <f t="shared" ref="F11:F24" si="1">LN(LN(E11))</f>
        <v>-2.9990904309003725</v>
      </c>
      <c r="G11" s="21">
        <f t="shared" ref="G11:G24" si="2">LN(C11)</f>
        <v>4.1743872698956368</v>
      </c>
      <c r="I11" s="206" t="s">
        <v>24</v>
      </c>
      <c r="J11" s="37">
        <f>EXP(-(INTERCEPT(F11:F24,G11:G24)/J10))</f>
        <v>742.53102252643703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</row>
    <row r="12" spans="2:21" x14ac:dyDescent="0.25">
      <c r="B12" s="2">
        <v>2</v>
      </c>
      <c r="C12" s="105">
        <f>IF(ISERROR(SMALL('Dados Falhas'!$E$11:$E$24,B12)),"",SMALL('Dados Falhas'!$E$11:$E$24,B12))</f>
        <v>95</v>
      </c>
      <c r="D12" s="101">
        <f>(B12-0.3)/(COUNT($B$11:$B$24)+0.4)</f>
        <v>0.11805555555555555</v>
      </c>
      <c r="E12" s="33">
        <f t="shared" si="0"/>
        <v>1.1338582677165354</v>
      </c>
      <c r="F12" s="27">
        <f t="shared" si="1"/>
        <v>-2.0744443435594273</v>
      </c>
      <c r="G12" s="22">
        <f t="shared" si="2"/>
        <v>4.5538768916005408</v>
      </c>
      <c r="L12" s="100"/>
      <c r="M12" s="100"/>
      <c r="N12" s="100"/>
      <c r="O12" s="100"/>
      <c r="P12" s="100"/>
      <c r="Q12" s="100"/>
      <c r="R12" s="97"/>
      <c r="S12" s="97"/>
      <c r="T12" s="97"/>
      <c r="U12" s="97"/>
    </row>
    <row r="13" spans="2:21" x14ac:dyDescent="0.25">
      <c r="B13" s="2">
        <v>3</v>
      </c>
      <c r="C13" s="105">
        <f>IF(ISERROR(SMALL('Dados Falhas'!$E$11:$E$24,B13)),"",SMALL('Dados Falhas'!$E$11:$E$24,B13))</f>
        <v>165</v>
      </c>
      <c r="D13" s="101">
        <f t="shared" ref="D13:D24" si="3">(B13-0.3)/(COUNT($B$11:$B$24)+0.4)</f>
        <v>0.1875</v>
      </c>
      <c r="E13" s="33">
        <f t="shared" si="0"/>
        <v>1.2307692307692308</v>
      </c>
      <c r="F13" s="27">
        <f t="shared" si="1"/>
        <v>-1.5719525272733839</v>
      </c>
      <c r="G13" s="22">
        <f t="shared" si="2"/>
        <v>5.1059454739005803</v>
      </c>
      <c r="L13" s="99"/>
      <c r="M13" s="99"/>
      <c r="N13" s="99"/>
      <c r="O13" s="99"/>
      <c r="P13" s="99"/>
      <c r="Q13" s="99"/>
      <c r="R13" s="97"/>
      <c r="S13" s="97"/>
      <c r="T13" s="97"/>
      <c r="U13" s="97"/>
    </row>
    <row r="14" spans="2:21" x14ac:dyDescent="0.25">
      <c r="B14" s="2">
        <v>4</v>
      </c>
      <c r="C14" s="105">
        <f>IF(ISERROR(SMALL('Dados Falhas'!$E$11:$E$24,B14)),"",SMALL('Dados Falhas'!$E$11:$E$24,B14))</f>
        <v>195</v>
      </c>
      <c r="D14" s="101">
        <f t="shared" si="3"/>
        <v>0.25694444444444448</v>
      </c>
      <c r="E14" s="33">
        <f t="shared" si="0"/>
        <v>1.3457943925233644</v>
      </c>
      <c r="F14" s="27">
        <f t="shared" si="1"/>
        <v>-1.2140754475605948</v>
      </c>
      <c r="G14" s="22">
        <f t="shared" si="2"/>
        <v>5.2729995585637468</v>
      </c>
      <c r="L14" s="99"/>
      <c r="M14" s="113"/>
      <c r="N14" s="99"/>
      <c r="O14" s="99"/>
      <c r="P14" s="99"/>
      <c r="Q14" s="99"/>
      <c r="R14" s="97"/>
      <c r="S14" s="97"/>
      <c r="T14" s="97"/>
      <c r="U14" s="97"/>
    </row>
    <row r="15" spans="2:21" x14ac:dyDescent="0.25">
      <c r="B15" s="2">
        <v>5</v>
      </c>
      <c r="C15" s="105">
        <f>IF(ISERROR(SMALL('Dados Falhas'!$E$11:$E$24,B15)),"",SMALL('Dados Falhas'!$E$11:$E$24,B15))</f>
        <v>267</v>
      </c>
      <c r="D15" s="101">
        <f t="shared" si="3"/>
        <v>0.3263888888888889</v>
      </c>
      <c r="E15" s="33">
        <f t="shared" si="0"/>
        <v>1.4845360824742266</v>
      </c>
      <c r="F15" s="27">
        <f t="shared" si="1"/>
        <v>-0.92861050693609049</v>
      </c>
      <c r="G15" s="22">
        <f t="shared" si="2"/>
        <v>5.5872486584002496</v>
      </c>
      <c r="L15" s="99"/>
      <c r="M15" s="99"/>
      <c r="N15" s="99"/>
      <c r="O15" s="99"/>
      <c r="P15" s="99"/>
      <c r="Q15" s="99"/>
      <c r="R15" s="97"/>
      <c r="S15" s="97"/>
      <c r="T15" s="97"/>
      <c r="U15" s="97"/>
    </row>
    <row r="16" spans="2:21" x14ac:dyDescent="0.25">
      <c r="B16" s="2">
        <v>6</v>
      </c>
      <c r="C16" s="105">
        <f>IF(ISERROR(SMALL('Dados Falhas'!$E$11:$E$24,B16)),"",SMALL('Dados Falhas'!$E$11:$E$24,B16))</f>
        <v>390</v>
      </c>
      <c r="D16" s="101">
        <f t="shared" si="3"/>
        <v>0.39583333333333331</v>
      </c>
      <c r="E16" s="33">
        <f t="shared" si="0"/>
        <v>1.6551724137931032</v>
      </c>
      <c r="F16" s="27">
        <f t="shared" si="1"/>
        <v>-0.6853671617024456</v>
      </c>
      <c r="G16" s="22">
        <f t="shared" si="2"/>
        <v>5.9661467391236922</v>
      </c>
      <c r="I16" s="31" t="s">
        <v>26</v>
      </c>
      <c r="J16" s="84">
        <v>900</v>
      </c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2:21" x14ac:dyDescent="0.25">
      <c r="B17" s="2">
        <v>7</v>
      </c>
      <c r="C17" s="105">
        <f>IF(ISERROR(SMALL('Dados Falhas'!$E$11:$E$24,B17)),"",SMALL('Dados Falhas'!$E$11:$E$24,B17))</f>
        <v>435</v>
      </c>
      <c r="D17" s="101">
        <f t="shared" si="3"/>
        <v>0.46527777777777779</v>
      </c>
      <c r="E17" s="33">
        <f t="shared" si="0"/>
        <v>1.8701298701298701</v>
      </c>
      <c r="F17" s="27">
        <f t="shared" si="1"/>
        <v>-0.46839232374026596</v>
      </c>
      <c r="G17" s="22">
        <f t="shared" si="2"/>
        <v>6.0753460310886842</v>
      </c>
      <c r="I17" s="31" t="s">
        <v>9</v>
      </c>
      <c r="J17" s="37">
        <f>EXP(-((J16/$J$11)^$J$10))</f>
        <v>0.29525185079093719</v>
      </c>
      <c r="L17" s="100"/>
      <c r="M17" s="100"/>
      <c r="N17" s="100"/>
      <c r="O17" s="100"/>
      <c r="P17" s="100"/>
      <c r="Q17" s="100"/>
      <c r="R17" s="100"/>
      <c r="S17" s="100"/>
      <c r="T17" s="100"/>
      <c r="U17" s="97"/>
    </row>
    <row r="18" spans="2:21" x14ac:dyDescent="0.25">
      <c r="B18" s="2">
        <v>8</v>
      </c>
      <c r="C18" s="105">
        <f>IF(ISERROR(SMALL('Dados Falhas'!$E$11:$E$24,B18)),"",SMALL('Dados Falhas'!$E$11:$E$24,B18))</f>
        <v>435</v>
      </c>
      <c r="D18" s="101">
        <f t="shared" si="3"/>
        <v>0.53472222222222221</v>
      </c>
      <c r="E18" s="33">
        <f t="shared" si="0"/>
        <v>2.1492537313432836</v>
      </c>
      <c r="F18" s="27">
        <f t="shared" si="1"/>
        <v>-0.26772170572125781</v>
      </c>
      <c r="G18" s="22">
        <f t="shared" si="2"/>
        <v>6.0753460310886842</v>
      </c>
      <c r="L18" s="99"/>
      <c r="M18" s="99"/>
      <c r="N18" s="99"/>
      <c r="O18" s="99"/>
      <c r="P18" s="99"/>
      <c r="Q18" s="99"/>
      <c r="R18" s="99"/>
      <c r="S18" s="99"/>
      <c r="T18" s="99"/>
      <c r="U18" s="97"/>
    </row>
    <row r="19" spans="2:21" x14ac:dyDescent="0.25">
      <c r="B19" s="2">
        <v>9</v>
      </c>
      <c r="C19" s="105">
        <f>IF(ISERROR(SMALL('Dados Falhas'!$E$11:$E$24,B19)),"",SMALL('Dados Falhas'!$E$11:$E$24,B19))</f>
        <v>570</v>
      </c>
      <c r="D19" s="101">
        <f t="shared" si="3"/>
        <v>0.60416666666666663</v>
      </c>
      <c r="E19" s="33">
        <f t="shared" si="0"/>
        <v>2.5263157894736841</v>
      </c>
      <c r="F19" s="27">
        <f t="shared" si="1"/>
        <v>-7.6058454309430049E-2</v>
      </c>
      <c r="G19" s="22">
        <f t="shared" si="2"/>
        <v>6.3456363608285962</v>
      </c>
      <c r="L19" s="99"/>
      <c r="M19" s="99"/>
      <c r="N19" s="99"/>
      <c r="O19" s="99"/>
      <c r="P19" s="99"/>
      <c r="Q19" s="99"/>
      <c r="R19" s="99"/>
      <c r="S19" s="99"/>
      <c r="T19" s="99"/>
      <c r="U19" s="97"/>
    </row>
    <row r="20" spans="2:21" x14ac:dyDescent="0.25">
      <c r="B20" s="2">
        <v>10</v>
      </c>
      <c r="C20" s="105">
        <f>IF(ISERROR(SMALL('Dados Falhas'!$E$11:$E$24,B20)),"",SMALL('Dados Falhas'!$E$11:$E$24,B20))</f>
        <v>795</v>
      </c>
      <c r="D20" s="101">
        <f t="shared" si="3"/>
        <v>0.67361111111111105</v>
      </c>
      <c r="E20" s="33">
        <f t="shared" si="0"/>
        <v>3.0638297872340421</v>
      </c>
      <c r="F20" s="27">
        <f t="shared" si="1"/>
        <v>0.11303015670350718</v>
      </c>
      <c r="G20" s="22">
        <f t="shared" si="2"/>
        <v>6.678342114654332</v>
      </c>
    </row>
    <row r="21" spans="2:21" x14ac:dyDescent="0.25">
      <c r="B21" s="2">
        <v>11</v>
      </c>
      <c r="C21" s="105">
        <f>IF(ISERROR(SMALL('Dados Falhas'!$E$11:$E$24,B21)),"",SMALL('Dados Falhas'!$E$11:$E$24,B21))</f>
        <v>1065</v>
      </c>
      <c r="D21" s="101">
        <f t="shared" si="3"/>
        <v>0.74305555555555547</v>
      </c>
      <c r="E21" s="12">
        <f t="shared" si="0"/>
        <v>3.8918918918918908</v>
      </c>
      <c r="F21" s="34">
        <f t="shared" si="1"/>
        <v>0.30667215423090377</v>
      </c>
      <c r="G21" s="22">
        <f t="shared" si="2"/>
        <v>6.9707300781435251</v>
      </c>
    </row>
    <row r="22" spans="2:21" x14ac:dyDescent="0.25">
      <c r="B22" s="2">
        <v>12</v>
      </c>
      <c r="C22" s="105">
        <f>IF(ISERROR(SMALL('Dados Falhas'!$E$11:$E$24,B22)),"",SMALL('Dados Falhas'!$E$11:$E$24,B22))</f>
        <v>1230</v>
      </c>
      <c r="D22" s="101">
        <f t="shared" si="3"/>
        <v>0.81249999999999989</v>
      </c>
      <c r="E22" s="12">
        <f t="shared" si="0"/>
        <v>5.3333333333333304</v>
      </c>
      <c r="F22" s="34">
        <f t="shared" si="1"/>
        <v>0.51520189405401373</v>
      </c>
      <c r="G22" s="22">
        <f t="shared" si="2"/>
        <v>7.114769448366463</v>
      </c>
      <c r="K22" s="15"/>
      <c r="L22" s="15"/>
    </row>
    <row r="23" spans="2:21" x14ac:dyDescent="0.25">
      <c r="B23" s="2">
        <v>13</v>
      </c>
      <c r="C23" s="105">
        <f>IF(ISERROR(SMALL('Dados Falhas'!$E$11:$E$24,B23)),"",SMALL('Dados Falhas'!$E$11:$E$24,B23))</f>
        <v>1615</v>
      </c>
      <c r="D23" s="101">
        <f t="shared" si="3"/>
        <v>0.88194444444444442</v>
      </c>
      <c r="E23" s="12">
        <f t="shared" si="0"/>
        <v>8.470588235294116</v>
      </c>
      <c r="F23" s="34">
        <f t="shared" si="1"/>
        <v>0.75921575971142674</v>
      </c>
      <c r="G23" s="22">
        <f t="shared" si="2"/>
        <v>7.3870902356567569</v>
      </c>
      <c r="K23" s="15"/>
      <c r="L23" s="15"/>
    </row>
    <row r="24" spans="2:21" x14ac:dyDescent="0.25">
      <c r="B24" s="3">
        <v>14</v>
      </c>
      <c r="C24" s="106">
        <f>IF(ISERROR(SMALL('Dados Falhas'!$E$11:$E$24,B24)),"",SMALL('Dados Falhas'!$E$11:$E$24,B24))</f>
        <v>2955</v>
      </c>
      <c r="D24" s="108">
        <f t="shared" si="3"/>
        <v>0.95138888888888884</v>
      </c>
      <c r="E24" s="14">
        <f t="shared" si="0"/>
        <v>20.571428571428552</v>
      </c>
      <c r="F24" s="13">
        <f t="shared" si="1"/>
        <v>1.1065484308601956</v>
      </c>
      <c r="G24" s="23">
        <f t="shared" si="2"/>
        <v>7.991253929840199</v>
      </c>
      <c r="K24" s="30"/>
      <c r="L24" s="15"/>
    </row>
    <row r="25" spans="2:21" x14ac:dyDescent="0.25">
      <c r="I25" s="24"/>
      <c r="J25" s="24"/>
      <c r="K25" s="24"/>
      <c r="L25" s="15"/>
    </row>
    <row r="26" spans="2:21" x14ac:dyDescent="0.25">
      <c r="I26" s="24"/>
      <c r="J26" s="24"/>
      <c r="K26" s="24"/>
      <c r="L26" s="15"/>
    </row>
    <row r="27" spans="2:21" x14ac:dyDescent="0.25">
      <c r="I27" s="24"/>
      <c r="J27" s="24"/>
      <c r="K27" s="24"/>
      <c r="L27" s="15"/>
    </row>
    <row r="28" spans="2:21" x14ac:dyDescent="0.25">
      <c r="I28" s="24"/>
      <c r="J28" s="24"/>
      <c r="K28" s="24"/>
      <c r="L28" s="15"/>
    </row>
    <row r="29" spans="2:21" x14ac:dyDescent="0.25">
      <c r="I29" s="24"/>
      <c r="J29" s="24"/>
      <c r="K29" s="24"/>
      <c r="L29" s="15"/>
    </row>
    <row r="30" spans="2:21" x14ac:dyDescent="0.25">
      <c r="I30" s="24"/>
      <c r="J30" s="24"/>
      <c r="K30" s="24"/>
      <c r="L30" s="15"/>
    </row>
    <row r="31" spans="2:21" x14ac:dyDescent="0.25">
      <c r="I31" s="24"/>
      <c r="J31" s="24"/>
      <c r="K31" s="24"/>
      <c r="L31" s="15"/>
    </row>
    <row r="32" spans="2:21" x14ac:dyDescent="0.25">
      <c r="I32" s="24"/>
      <c r="J32" s="24"/>
      <c r="K32" s="24"/>
      <c r="L32" s="15"/>
    </row>
    <row r="33" spans="2:12" x14ac:dyDescent="0.25">
      <c r="I33" s="24"/>
      <c r="J33" s="24"/>
      <c r="K33" s="24"/>
      <c r="L33" s="15"/>
    </row>
    <row r="34" spans="2:12" x14ac:dyDescent="0.25">
      <c r="I34" s="24"/>
      <c r="J34" s="24"/>
      <c r="K34" s="24"/>
      <c r="L34" s="15"/>
    </row>
    <row r="35" spans="2:12" x14ac:dyDescent="0.25">
      <c r="I35" s="24"/>
      <c r="J35" s="24"/>
      <c r="K35" s="24"/>
      <c r="L35" s="15"/>
    </row>
    <row r="36" spans="2:12" x14ac:dyDescent="0.25">
      <c r="I36" s="24"/>
      <c r="J36" s="24"/>
      <c r="K36" s="24"/>
      <c r="L36" s="15"/>
    </row>
    <row r="37" spans="2:12" x14ac:dyDescent="0.25">
      <c r="I37" s="24"/>
      <c r="J37" s="24"/>
      <c r="K37" s="24"/>
      <c r="L37" s="15"/>
    </row>
    <row r="38" spans="2:12" x14ac:dyDescent="0.25">
      <c r="I38" s="24"/>
      <c r="J38" s="24"/>
      <c r="K38" s="24"/>
      <c r="L38" s="15"/>
    </row>
    <row r="39" spans="2:12" x14ac:dyDescent="0.25">
      <c r="I39" s="24"/>
      <c r="J39" s="24"/>
      <c r="K39" s="24"/>
      <c r="L39" s="15"/>
    </row>
    <row r="40" spans="2:12" x14ac:dyDescent="0.25">
      <c r="B40" s="24"/>
      <c r="C40" s="24"/>
      <c r="D40" s="24"/>
      <c r="E40" s="15"/>
      <c r="I40" s="24"/>
      <c r="J40" s="24"/>
      <c r="K40" s="24"/>
      <c r="L40" s="15"/>
    </row>
    <row r="41" spans="2:12" x14ac:dyDescent="0.25">
      <c r="B41" s="24"/>
      <c r="C41" s="24"/>
      <c r="D41" s="24"/>
      <c r="E41" s="15"/>
      <c r="I41" s="24"/>
      <c r="J41" s="24"/>
      <c r="K41" s="24"/>
      <c r="L41" s="15"/>
    </row>
    <row r="42" spans="2:12" x14ac:dyDescent="0.25">
      <c r="B42" s="24"/>
      <c r="C42" s="24"/>
      <c r="D42" s="24"/>
      <c r="E42" s="15"/>
      <c r="I42" s="24"/>
      <c r="J42" s="24"/>
      <c r="K42" s="24"/>
      <c r="L42" s="15"/>
    </row>
    <row r="43" spans="2:12" x14ac:dyDescent="0.25">
      <c r="B43" s="24"/>
      <c r="C43" s="24"/>
      <c r="D43" s="24"/>
      <c r="E43" s="15"/>
      <c r="I43" s="24"/>
      <c r="J43" s="24"/>
      <c r="K43" s="24"/>
      <c r="L43" s="15"/>
    </row>
    <row r="44" spans="2:12" x14ac:dyDescent="0.25">
      <c r="B44" s="24"/>
      <c r="C44" s="24"/>
      <c r="D44" s="24"/>
      <c r="E44" s="15"/>
      <c r="I44" s="15"/>
      <c r="J44" s="15"/>
      <c r="K44" s="15"/>
      <c r="L44" s="15"/>
    </row>
    <row r="45" spans="2:12" x14ac:dyDescent="0.25">
      <c r="B45" s="24"/>
      <c r="C45" s="24"/>
      <c r="D45" s="24"/>
      <c r="E45" s="15"/>
      <c r="I45" s="15"/>
      <c r="J45" s="15"/>
      <c r="K45" s="15"/>
      <c r="L45" s="15"/>
    </row>
    <row r="46" spans="2:12" x14ac:dyDescent="0.25">
      <c r="B46" s="15"/>
      <c r="C46" s="15"/>
      <c r="D46" s="15"/>
      <c r="E46" s="15"/>
    </row>
    <row r="47" spans="2:12" x14ac:dyDescent="0.25">
      <c r="B47" s="15"/>
      <c r="C47" s="15"/>
      <c r="D47" s="15"/>
      <c r="E47" s="15"/>
    </row>
  </sheetData>
  <sortState xmlns:xlrd2="http://schemas.microsoft.com/office/spreadsheetml/2017/richdata2" ref="C11:C24">
    <sortCondition ref="C11"/>
  </sortState>
  <mergeCells count="1">
    <mergeCell ref="L2:S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B2:T47"/>
  <sheetViews>
    <sheetView showGridLines="0" zoomScaleNormal="100" workbookViewId="0">
      <selection activeCell="I10" sqref="I10:I11"/>
    </sheetView>
  </sheetViews>
  <sheetFormatPr defaultRowHeight="15" x14ac:dyDescent="0.25"/>
  <cols>
    <col min="2" max="2" width="11.28515625" customWidth="1"/>
    <col min="3" max="3" width="13.7109375" bestFit="1" customWidth="1"/>
    <col min="4" max="4" width="14.28515625" bestFit="1" customWidth="1"/>
    <col min="5" max="5" width="18.140625" bestFit="1" customWidth="1"/>
    <col min="6" max="6" width="26.28515625" bestFit="1" customWidth="1"/>
    <col min="7" max="7" width="16.42578125" bestFit="1" customWidth="1"/>
    <col min="8" max="8" width="16.85546875" customWidth="1"/>
    <col min="9" max="9" width="17.140625" bestFit="1" customWidth="1"/>
    <col min="10" max="10" width="14.140625" customWidth="1"/>
    <col min="11" max="11" width="12.7109375" bestFit="1" customWidth="1"/>
    <col min="12" max="12" width="9.5703125" customWidth="1"/>
    <col min="13" max="13" width="16" bestFit="1" customWidth="1"/>
    <col min="15" max="15" width="13.7109375" bestFit="1" customWidth="1"/>
    <col min="16" max="17" width="14.5703125" bestFit="1" customWidth="1"/>
  </cols>
  <sheetData>
    <row r="2" spans="2:20" x14ac:dyDescent="0.25">
      <c r="L2" s="236"/>
      <c r="M2" s="236"/>
      <c r="N2" s="236"/>
      <c r="O2" s="236"/>
      <c r="P2" s="236"/>
      <c r="Q2" s="236"/>
      <c r="R2" s="236"/>
      <c r="S2" s="236"/>
      <c r="T2" s="236"/>
    </row>
    <row r="3" spans="2:20" x14ac:dyDescent="0.25">
      <c r="N3" s="95"/>
      <c r="O3" s="95"/>
      <c r="P3" s="95"/>
      <c r="Q3" s="95"/>
      <c r="R3" s="95"/>
      <c r="S3" s="95"/>
      <c r="T3" s="95"/>
    </row>
    <row r="4" spans="2:20" x14ac:dyDescent="0.25">
      <c r="N4" s="95"/>
      <c r="O4" s="95"/>
      <c r="P4" s="95"/>
      <c r="Q4" s="95"/>
      <c r="R4" s="95"/>
      <c r="S4" s="95"/>
      <c r="T4" s="95"/>
    </row>
    <row r="5" spans="2:20" x14ac:dyDescent="0.25">
      <c r="N5" s="95"/>
      <c r="O5" s="95"/>
      <c r="P5" s="95"/>
      <c r="Q5" s="95"/>
      <c r="R5" s="95"/>
      <c r="S5" s="95"/>
      <c r="T5" s="95"/>
    </row>
    <row r="6" spans="2:20" ht="39" x14ac:dyDescent="0.25">
      <c r="B6" s="207" t="s">
        <v>109</v>
      </c>
      <c r="C6" s="207"/>
      <c r="D6" s="207"/>
      <c r="E6" s="207"/>
      <c r="F6" s="207"/>
      <c r="G6" s="207"/>
      <c r="H6" s="207"/>
      <c r="I6" s="207"/>
      <c r="J6" s="207"/>
      <c r="K6" s="207"/>
      <c r="N6" s="95"/>
      <c r="O6" s="95"/>
      <c r="P6" s="95"/>
      <c r="Q6" s="95"/>
      <c r="R6" s="95"/>
      <c r="S6" s="95"/>
      <c r="T6" s="95"/>
    </row>
    <row r="7" spans="2:20" x14ac:dyDescent="0.25">
      <c r="N7" s="95"/>
      <c r="O7" s="95"/>
      <c r="P7" s="95"/>
      <c r="Q7" s="95"/>
      <c r="R7" s="95"/>
      <c r="S7" s="95"/>
      <c r="T7" s="95"/>
    </row>
    <row r="8" spans="2:20" x14ac:dyDescent="0.25">
      <c r="N8" s="95"/>
      <c r="O8" s="95"/>
      <c r="P8" s="95"/>
      <c r="Q8" s="95"/>
      <c r="R8" s="95"/>
      <c r="S8" s="95"/>
      <c r="T8" s="95"/>
    </row>
    <row r="9" spans="2:20" x14ac:dyDescent="0.25">
      <c r="N9" s="95"/>
      <c r="O9" s="95"/>
      <c r="P9" s="95"/>
      <c r="Q9" s="95"/>
      <c r="R9" s="95"/>
      <c r="S9" s="95"/>
      <c r="T9" s="95"/>
    </row>
    <row r="10" spans="2:20" x14ac:dyDescent="0.25">
      <c r="B10" s="31" t="s">
        <v>18</v>
      </c>
      <c r="C10" s="31" t="s">
        <v>75</v>
      </c>
      <c r="D10" s="231" t="s">
        <v>19</v>
      </c>
      <c r="E10" s="31" t="s">
        <v>20</v>
      </c>
      <c r="F10" s="31" t="s">
        <v>21</v>
      </c>
      <c r="G10" s="31" t="s">
        <v>22</v>
      </c>
      <c r="I10" s="206" t="s">
        <v>25</v>
      </c>
      <c r="J10" s="37">
        <f>SLOPE(F11:F16,G11:G16)</f>
        <v>0.7110861761707058</v>
      </c>
      <c r="N10" s="95"/>
      <c r="O10" s="95"/>
      <c r="P10" s="95"/>
      <c r="Q10" s="95"/>
      <c r="R10" s="95"/>
      <c r="S10" s="95"/>
      <c r="T10" s="95"/>
    </row>
    <row r="11" spans="2:20" x14ac:dyDescent="0.25">
      <c r="B11" s="10">
        <v>1</v>
      </c>
      <c r="C11" s="105">
        <f>IF(ISERR(SMALL('Dados Falhas'!$I$10:$I$34,'Weibull Embaladora'!B11)),"",SMALL('Dados Falhas'!$I$10:$I$34,'Weibull Embaladora'!B11))</f>
        <v>60</v>
      </c>
      <c r="D11" s="17">
        <f>(B11-0.3)/(COUNT($B$11:$B$16)+0.4)</f>
        <v>0.10937499999999999</v>
      </c>
      <c r="E11" s="32">
        <f t="shared" ref="E11:E16" si="0">1/(1-D11)</f>
        <v>1.1228070175438596</v>
      </c>
      <c r="F11" s="29">
        <f t="shared" ref="F11:F16" si="1">LN(LN(E11))</f>
        <v>-2.1556160061114946</v>
      </c>
      <c r="G11" s="21">
        <f t="shared" ref="G11:G16" si="2">LN(C11)</f>
        <v>4.0943445622221004</v>
      </c>
      <c r="I11" s="206" t="s">
        <v>24</v>
      </c>
      <c r="J11" s="37">
        <f>EXP(-(INTERCEPT(F11:F16,G11:G16)/J10))</f>
        <v>1550.2443057287674</v>
      </c>
      <c r="L11" s="15"/>
      <c r="M11" s="15"/>
      <c r="N11" s="95"/>
      <c r="O11" s="95"/>
      <c r="P11" s="95"/>
      <c r="Q11" s="95"/>
      <c r="R11" s="95"/>
      <c r="S11" s="95"/>
      <c r="T11" s="95"/>
    </row>
    <row r="12" spans="2:20" x14ac:dyDescent="0.25">
      <c r="B12" s="2">
        <v>2</v>
      </c>
      <c r="C12" s="105">
        <f>IF(ISERR(SMALL('Dados Falhas'!$I$10:$I$34,'Weibull Embaladora'!B12)),"",SMALL('Dados Falhas'!$I$10:$I$34,'Weibull Embaladora'!B12))</f>
        <v>555</v>
      </c>
      <c r="D12" s="18">
        <f t="shared" ref="D12:D16" si="3">(B12-0.3)/(COUNT($B$11:$B$16)+0.4)</f>
        <v>0.265625</v>
      </c>
      <c r="E12" s="33">
        <f t="shared" si="0"/>
        <v>1.3617021276595744</v>
      </c>
      <c r="F12" s="27">
        <f t="shared" si="1"/>
        <v>-1.17527041514277</v>
      </c>
      <c r="G12" s="22">
        <f t="shared" si="2"/>
        <v>6.3189681137464344</v>
      </c>
      <c r="L12" s="24"/>
      <c r="M12" s="24"/>
      <c r="N12" s="30"/>
      <c r="O12" s="30"/>
      <c r="P12" s="30"/>
      <c r="Q12" s="30"/>
      <c r="R12" s="95"/>
      <c r="S12" s="95"/>
      <c r="T12" s="95"/>
    </row>
    <row r="13" spans="2:20" x14ac:dyDescent="0.25">
      <c r="B13" s="2">
        <v>3</v>
      </c>
      <c r="C13" s="105">
        <f>IF(ISERR(SMALL('Dados Falhas'!$I$10:$I$34,'Weibull Embaladora'!B13)),"",SMALL('Dados Falhas'!$I$10:$I$34,'Weibull Embaladora'!B13))</f>
        <v>630</v>
      </c>
      <c r="D13" s="18">
        <f t="shared" si="3"/>
        <v>0.421875</v>
      </c>
      <c r="E13" s="33">
        <f t="shared" si="0"/>
        <v>1.7297297297297298</v>
      </c>
      <c r="F13" s="27">
        <f t="shared" si="1"/>
        <v>-0.60154355114255831</v>
      </c>
      <c r="G13" s="22">
        <f t="shared" si="2"/>
        <v>6.4457198193855785</v>
      </c>
      <c r="L13" s="24"/>
      <c r="M13" s="24"/>
      <c r="N13" s="24"/>
      <c r="O13" s="24"/>
      <c r="P13" s="24"/>
      <c r="Q13" s="24"/>
      <c r="R13" s="95"/>
      <c r="S13" s="95"/>
      <c r="T13" s="95"/>
    </row>
    <row r="14" spans="2:20" x14ac:dyDescent="0.25">
      <c r="B14" s="2">
        <v>4</v>
      </c>
      <c r="C14" s="105">
        <f>IF(ISERR(SMALL('Dados Falhas'!$I$10:$I$34,'Weibull Embaladora'!B14)),"",SMALL('Dados Falhas'!$I$10:$I$34,'Weibull Embaladora'!B14))</f>
        <v>1065</v>
      </c>
      <c r="D14" s="18">
        <f t="shared" si="3"/>
        <v>0.578125</v>
      </c>
      <c r="E14" s="33">
        <f t="shared" si="0"/>
        <v>2.3703703703703702</v>
      </c>
      <c r="F14" s="27">
        <f t="shared" si="1"/>
        <v>-0.1472870350391286</v>
      </c>
      <c r="G14" s="22">
        <f t="shared" si="2"/>
        <v>6.9707300781435251</v>
      </c>
      <c r="L14" s="24"/>
      <c r="M14" s="24"/>
      <c r="N14" s="24"/>
      <c r="O14" s="24"/>
      <c r="P14" s="24"/>
      <c r="Q14" s="24"/>
      <c r="R14" s="95"/>
      <c r="S14" s="95"/>
      <c r="T14" s="95"/>
    </row>
    <row r="15" spans="2:20" x14ac:dyDescent="0.25">
      <c r="B15" s="2">
        <v>5</v>
      </c>
      <c r="C15" s="105">
        <f>IF(ISERR(SMALL('Dados Falhas'!$I$10:$I$34,'Weibull Embaladora'!B15)),"",SMALL('Dados Falhas'!$I$10:$I$34,'Weibull Embaladora'!B15))</f>
        <v>2520</v>
      </c>
      <c r="D15" s="18">
        <f t="shared" si="3"/>
        <v>0.734375</v>
      </c>
      <c r="E15" s="33">
        <f t="shared" si="0"/>
        <v>3.7647058823529411</v>
      </c>
      <c r="F15" s="27">
        <f t="shared" si="1"/>
        <v>0.28191779535972816</v>
      </c>
      <c r="G15" s="22">
        <f t="shared" si="2"/>
        <v>7.8320141805054693</v>
      </c>
      <c r="L15" s="24"/>
      <c r="M15" s="24"/>
      <c r="N15" s="24"/>
      <c r="O15" s="24"/>
      <c r="P15" s="24"/>
      <c r="Q15" s="24"/>
      <c r="R15" s="95"/>
      <c r="S15" s="95"/>
      <c r="T15" s="95"/>
    </row>
    <row r="16" spans="2:20" x14ac:dyDescent="0.25">
      <c r="B16" s="2">
        <v>6</v>
      </c>
      <c r="C16" s="105">
        <f>IF(ISERR(SMALL('Dados Falhas'!$I$10:$I$34,'Weibull Embaladora'!B16)),"",SMALL('Dados Falhas'!$I$10:$I$34,'Weibull Embaladora'!B16))</f>
        <v>3610</v>
      </c>
      <c r="D16" s="19">
        <f t="shared" si="3"/>
        <v>0.890625</v>
      </c>
      <c r="E16" s="33">
        <f t="shared" si="0"/>
        <v>9.1428571428571423</v>
      </c>
      <c r="F16" s="27">
        <f t="shared" si="1"/>
        <v>0.79433683067525973</v>
      </c>
      <c r="G16" s="22">
        <f t="shared" si="2"/>
        <v>8.1914630513269273</v>
      </c>
      <c r="I16" s="31" t="s">
        <v>26</v>
      </c>
      <c r="J16" s="8">
        <v>1800</v>
      </c>
      <c r="L16" s="24"/>
      <c r="M16" s="24"/>
      <c r="N16" s="95"/>
      <c r="O16" s="95"/>
      <c r="P16" s="95"/>
      <c r="Q16" s="95"/>
      <c r="R16" s="95"/>
      <c r="S16" s="95"/>
      <c r="T16" s="95"/>
    </row>
    <row r="17" spans="2:20" x14ac:dyDescent="0.25">
      <c r="B17" s="28"/>
      <c r="C17" s="28" t="str">
        <f>IF(ISERR(SMALL('Dados Falhas'!$I$10:$I$34,'Weibull Embaladora'!B17)),"",SMALL('Dados Falhas'!$I$10:$I$34,'Weibull Embaladora'!B17))</f>
        <v/>
      </c>
      <c r="D17" s="20"/>
      <c r="E17" s="29"/>
      <c r="F17" s="29"/>
      <c r="G17" s="29"/>
      <c r="I17" s="31" t="s">
        <v>9</v>
      </c>
      <c r="J17" s="37">
        <f>EXP(-((J16/$J$11)^$J$10))</f>
        <v>0.328879405092316</v>
      </c>
      <c r="L17" s="95"/>
      <c r="M17" s="95"/>
      <c r="N17" s="30"/>
      <c r="O17" s="30"/>
      <c r="P17" s="30"/>
      <c r="Q17" s="30"/>
      <c r="R17" s="30"/>
      <c r="S17" s="30"/>
      <c r="T17" s="30"/>
    </row>
    <row r="18" spans="2:20" x14ac:dyDescent="0.25">
      <c r="B18" s="26"/>
      <c r="D18" s="20"/>
      <c r="E18" s="27"/>
      <c r="F18" s="27"/>
      <c r="G18" s="27"/>
      <c r="L18" s="95"/>
      <c r="M18" s="95"/>
      <c r="N18" s="24"/>
      <c r="O18" s="24"/>
      <c r="P18" s="24"/>
      <c r="Q18" s="24"/>
      <c r="R18" s="24"/>
      <c r="S18" s="24"/>
      <c r="T18" s="24"/>
    </row>
    <row r="19" spans="2:20" x14ac:dyDescent="0.25">
      <c r="L19" s="30"/>
      <c r="M19" s="30"/>
      <c r="N19" s="24"/>
      <c r="O19" s="24"/>
      <c r="P19" s="24"/>
      <c r="Q19" s="24"/>
      <c r="R19" s="24"/>
      <c r="S19" s="24"/>
      <c r="T19" s="24"/>
    </row>
    <row r="20" spans="2:20" x14ac:dyDescent="0.25">
      <c r="N20" s="95"/>
      <c r="O20" s="95"/>
      <c r="P20" s="95"/>
      <c r="Q20" s="95"/>
      <c r="R20" s="95"/>
      <c r="S20" s="95"/>
      <c r="T20" s="95"/>
    </row>
    <row r="22" spans="2:20" x14ac:dyDescent="0.25">
      <c r="K22" s="15"/>
      <c r="L22" s="15"/>
    </row>
    <row r="23" spans="2:20" x14ac:dyDescent="0.25">
      <c r="I23" s="15"/>
      <c r="J23" s="15"/>
      <c r="K23" s="15"/>
      <c r="L23" s="15"/>
    </row>
    <row r="24" spans="2:20" x14ac:dyDescent="0.25">
      <c r="I24" s="30"/>
      <c r="J24" s="30"/>
      <c r="K24" s="30"/>
      <c r="L24" s="15"/>
    </row>
    <row r="25" spans="2:20" x14ac:dyDescent="0.25">
      <c r="I25" s="24"/>
      <c r="J25" s="24"/>
      <c r="K25" s="24"/>
      <c r="L25" s="15"/>
    </row>
    <row r="26" spans="2:20" x14ac:dyDescent="0.25">
      <c r="I26" s="24"/>
      <c r="J26" s="24"/>
      <c r="K26" s="24"/>
      <c r="L26" s="15"/>
    </row>
    <row r="27" spans="2:20" x14ac:dyDescent="0.25">
      <c r="I27" s="24"/>
      <c r="J27" s="24"/>
      <c r="K27" s="24"/>
      <c r="L27" s="15"/>
    </row>
    <row r="28" spans="2:20" x14ac:dyDescent="0.25">
      <c r="I28" s="24"/>
      <c r="J28" s="24"/>
      <c r="K28" s="24"/>
      <c r="L28" s="15"/>
    </row>
    <row r="29" spans="2:20" x14ac:dyDescent="0.25">
      <c r="I29" s="24"/>
      <c r="J29" s="24"/>
      <c r="K29" s="24"/>
      <c r="L29" s="15"/>
    </row>
    <row r="30" spans="2:20" x14ac:dyDescent="0.25">
      <c r="I30" s="24"/>
      <c r="J30" s="24"/>
      <c r="K30" s="24"/>
      <c r="L30" s="15"/>
    </row>
    <row r="31" spans="2:20" x14ac:dyDescent="0.25">
      <c r="I31" s="24"/>
      <c r="J31" s="24"/>
      <c r="K31" s="24"/>
      <c r="L31" s="15"/>
    </row>
    <row r="32" spans="2:20" x14ac:dyDescent="0.25">
      <c r="I32" s="24"/>
      <c r="J32" s="24"/>
      <c r="K32" s="24"/>
      <c r="L32" s="15"/>
    </row>
    <row r="33" spans="2:12" x14ac:dyDescent="0.25">
      <c r="I33" s="24"/>
      <c r="J33" s="24"/>
      <c r="K33" s="24"/>
      <c r="L33" s="15"/>
    </row>
    <row r="34" spans="2:12" x14ac:dyDescent="0.25">
      <c r="I34" s="24"/>
      <c r="J34" s="24"/>
      <c r="K34" s="24"/>
      <c r="L34" s="15"/>
    </row>
    <row r="35" spans="2:12" x14ac:dyDescent="0.25">
      <c r="I35" s="24"/>
      <c r="J35" s="24"/>
      <c r="K35" s="24"/>
      <c r="L35" s="15"/>
    </row>
    <row r="36" spans="2:12" x14ac:dyDescent="0.25">
      <c r="I36" s="24"/>
      <c r="J36" s="24"/>
      <c r="K36" s="24"/>
      <c r="L36" s="15"/>
    </row>
    <row r="37" spans="2:12" x14ac:dyDescent="0.25">
      <c r="I37" s="24"/>
      <c r="J37" s="24"/>
      <c r="K37" s="24"/>
      <c r="L37" s="15"/>
    </row>
    <row r="38" spans="2:12" x14ac:dyDescent="0.25">
      <c r="I38" s="24"/>
      <c r="J38" s="24"/>
      <c r="K38" s="24"/>
      <c r="L38" s="15"/>
    </row>
    <row r="39" spans="2:12" x14ac:dyDescent="0.25">
      <c r="I39" s="24"/>
      <c r="J39" s="24"/>
      <c r="K39" s="24"/>
      <c r="L39" s="15"/>
    </row>
    <row r="40" spans="2:12" x14ac:dyDescent="0.25">
      <c r="B40" s="24"/>
      <c r="C40" s="24"/>
      <c r="D40" s="24"/>
      <c r="E40" s="15"/>
      <c r="I40" s="24"/>
      <c r="J40" s="24"/>
      <c r="K40" s="24"/>
      <c r="L40" s="15"/>
    </row>
    <row r="41" spans="2:12" x14ac:dyDescent="0.25">
      <c r="B41" s="24"/>
      <c r="C41" s="24"/>
      <c r="D41" s="24"/>
      <c r="E41" s="15"/>
      <c r="I41" s="24"/>
      <c r="J41" s="24"/>
      <c r="K41" s="24"/>
      <c r="L41" s="15"/>
    </row>
    <row r="42" spans="2:12" x14ac:dyDescent="0.25">
      <c r="B42" s="24"/>
      <c r="C42" s="24"/>
      <c r="D42" s="24"/>
      <c r="E42" s="15"/>
      <c r="I42" s="24"/>
      <c r="J42" s="24"/>
      <c r="K42" s="24"/>
      <c r="L42" s="15"/>
    </row>
    <row r="43" spans="2:12" x14ac:dyDescent="0.25">
      <c r="B43" s="24"/>
      <c r="C43" s="24"/>
      <c r="D43" s="24"/>
      <c r="E43" s="15"/>
      <c r="I43" s="24"/>
      <c r="J43" s="24"/>
      <c r="K43" s="24"/>
      <c r="L43" s="15"/>
    </row>
    <row r="44" spans="2:12" x14ac:dyDescent="0.25">
      <c r="B44" s="24"/>
      <c r="C44" s="24"/>
      <c r="D44" s="24"/>
      <c r="E44" s="15"/>
      <c r="I44" s="15"/>
      <c r="J44" s="15"/>
      <c r="K44" s="15"/>
      <c r="L44" s="15"/>
    </row>
    <row r="45" spans="2:12" x14ac:dyDescent="0.25">
      <c r="B45" s="24"/>
      <c r="C45" s="24"/>
      <c r="D45" s="24"/>
      <c r="E45" s="15"/>
      <c r="I45" s="15"/>
      <c r="J45" s="15"/>
      <c r="K45" s="15"/>
      <c r="L45" s="15"/>
    </row>
    <row r="46" spans="2:12" x14ac:dyDescent="0.25">
      <c r="B46" s="15"/>
      <c r="C46" s="15"/>
      <c r="D46" s="15"/>
      <c r="E46" s="15"/>
    </row>
    <row r="47" spans="2:12" x14ac:dyDescent="0.25">
      <c r="B47" s="15"/>
      <c r="C47" s="15"/>
      <c r="D47" s="15"/>
      <c r="E47" s="15"/>
    </row>
  </sheetData>
  <sortState xmlns:xlrd2="http://schemas.microsoft.com/office/spreadsheetml/2017/richdata2" ref="C11:C16">
    <sortCondition ref="C4"/>
  </sortState>
  <mergeCells count="1">
    <mergeCell ref="L2:T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B2:U47"/>
  <sheetViews>
    <sheetView showGridLines="0" zoomScaleNormal="100" workbookViewId="0">
      <selection activeCell="I10" sqref="I10:I11"/>
    </sheetView>
  </sheetViews>
  <sheetFormatPr defaultRowHeight="15" x14ac:dyDescent="0.25"/>
  <cols>
    <col min="2" max="2" width="6" bestFit="1" customWidth="1"/>
    <col min="3" max="3" width="12.7109375" bestFit="1" customWidth="1"/>
    <col min="4" max="4" width="14.28515625" bestFit="1" customWidth="1"/>
    <col min="5" max="5" width="18.140625" bestFit="1" customWidth="1"/>
    <col min="6" max="6" width="26.28515625" bestFit="1" customWidth="1"/>
    <col min="7" max="7" width="16.42578125" bestFit="1" customWidth="1"/>
    <col min="8" max="8" width="24.85546875" bestFit="1" customWidth="1"/>
    <col min="9" max="9" width="17.140625" bestFit="1" customWidth="1"/>
    <col min="10" max="10" width="14.140625" customWidth="1"/>
    <col min="11" max="11" width="12.7109375" bestFit="1" customWidth="1"/>
    <col min="13" max="13" width="16" bestFit="1" customWidth="1"/>
    <col min="15" max="15" width="13.7109375" bestFit="1" customWidth="1"/>
    <col min="16" max="17" width="14.5703125" bestFit="1" customWidth="1"/>
  </cols>
  <sheetData>
    <row r="2" spans="2:21" x14ac:dyDescent="0.25"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2:21" x14ac:dyDescent="0.25"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2:21" x14ac:dyDescent="0.25">
      <c r="L4" s="96"/>
      <c r="M4" s="96"/>
      <c r="N4" s="15"/>
      <c r="O4" s="15"/>
      <c r="P4" s="15"/>
      <c r="Q4" s="15"/>
      <c r="R4" s="15"/>
      <c r="S4" s="15"/>
      <c r="T4" s="15"/>
      <c r="U4" s="15"/>
    </row>
    <row r="5" spans="2:21" x14ac:dyDescent="0.25">
      <c r="L5" s="24"/>
      <c r="M5" s="24"/>
      <c r="N5" s="15"/>
      <c r="O5" s="15"/>
      <c r="P5" s="15"/>
      <c r="Q5" s="15"/>
      <c r="R5" s="15"/>
      <c r="S5" s="15"/>
      <c r="T5" s="15"/>
      <c r="U5" s="15"/>
    </row>
    <row r="6" spans="2:21" ht="39" x14ac:dyDescent="0.25">
      <c r="B6" s="207" t="s">
        <v>110</v>
      </c>
      <c r="C6" s="207"/>
      <c r="D6" s="207"/>
      <c r="E6" s="207"/>
      <c r="F6" s="207"/>
      <c r="G6" s="207"/>
      <c r="H6" s="207"/>
      <c r="I6" s="207"/>
      <c r="J6" s="207"/>
      <c r="K6" s="207"/>
      <c r="L6" s="24"/>
      <c r="M6" s="24"/>
      <c r="N6" s="15"/>
      <c r="O6" s="15"/>
      <c r="P6" s="15"/>
      <c r="Q6" s="15"/>
      <c r="R6" s="15"/>
      <c r="S6" s="15"/>
      <c r="T6" s="15"/>
      <c r="U6" s="15"/>
    </row>
    <row r="7" spans="2:21" x14ac:dyDescent="0.25">
      <c r="L7" s="24"/>
      <c r="M7" s="24"/>
      <c r="N7" s="15"/>
      <c r="O7" s="15"/>
      <c r="P7" s="15"/>
      <c r="Q7" s="15"/>
      <c r="R7" s="15"/>
      <c r="S7" s="15"/>
      <c r="T7" s="15"/>
      <c r="U7" s="15"/>
    </row>
    <row r="8" spans="2:21" x14ac:dyDescent="0.25">
      <c r="L8" s="24"/>
      <c r="M8" s="24"/>
      <c r="N8" s="15"/>
      <c r="O8" s="15"/>
      <c r="P8" s="15"/>
      <c r="Q8" s="15"/>
      <c r="R8" s="15"/>
      <c r="S8" s="15"/>
      <c r="T8" s="15"/>
      <c r="U8" s="15"/>
    </row>
    <row r="9" spans="2:21" x14ac:dyDescent="0.25">
      <c r="L9" s="24"/>
      <c r="M9" s="24"/>
      <c r="N9" s="15"/>
      <c r="O9" s="15"/>
      <c r="P9" s="15"/>
      <c r="Q9" s="15"/>
      <c r="R9" s="15"/>
      <c r="S9" s="15"/>
      <c r="T9" s="15"/>
      <c r="U9" s="15"/>
    </row>
    <row r="10" spans="2:21" x14ac:dyDescent="0.25">
      <c r="B10" s="31" t="s">
        <v>18</v>
      </c>
      <c r="C10" s="231" t="s">
        <v>17</v>
      </c>
      <c r="D10" s="31" t="s">
        <v>19</v>
      </c>
      <c r="E10" s="31" t="s">
        <v>20</v>
      </c>
      <c r="F10" s="31" t="s">
        <v>21</v>
      </c>
      <c r="G10" s="31" t="s">
        <v>22</v>
      </c>
      <c r="I10" s="206" t="s">
        <v>25</v>
      </c>
      <c r="J10" s="37">
        <f>SLOPE(F11:F23,G11:G23)</f>
        <v>0.91540968557855995</v>
      </c>
      <c r="M10" s="15"/>
      <c r="N10" s="15"/>
      <c r="O10" s="15"/>
      <c r="P10" s="15"/>
      <c r="Q10" s="15"/>
      <c r="R10" s="15"/>
      <c r="S10" s="15"/>
      <c r="T10" s="15"/>
      <c r="U10" s="15"/>
    </row>
    <row r="11" spans="2:21" x14ac:dyDescent="0.25">
      <c r="B11" s="10">
        <v>1</v>
      </c>
      <c r="C11" s="6">
        <f>IF(ISERR(SMALL('Dados Falhas'!$K$11:$K$23,'Weibull Envasadora'!B11)),"",SMALL('Dados Falhas'!$K$11:$K$23,'Weibull Envasadora'!B11))</f>
        <v>35</v>
      </c>
      <c r="D11" s="107">
        <f>(B11-0.3)/(COUNT($B$11:$B$23)+0.4)</f>
        <v>5.2238805970149252E-2</v>
      </c>
      <c r="E11" s="21">
        <f t="shared" ref="E11:E23" si="0">1/(1-D11)</f>
        <v>1.0551181102362206</v>
      </c>
      <c r="F11" s="21">
        <f t="shared" ref="F11:F23" si="1">LN(LN(E11))</f>
        <v>-2.9252232335083845</v>
      </c>
      <c r="G11" s="21">
        <f t="shared" ref="G11:G23" si="2">LN(C11)</f>
        <v>3.5553480614894135</v>
      </c>
      <c r="I11" s="206" t="s">
        <v>24</v>
      </c>
      <c r="J11" s="37">
        <f>EXP(-(INTERCEPT(F11:F23,G11:G23)/J10))</f>
        <v>727.56099112939989</v>
      </c>
      <c r="M11" s="15"/>
      <c r="N11" s="15"/>
      <c r="O11" s="15"/>
      <c r="P11" s="15"/>
      <c r="Q11" s="15"/>
      <c r="R11" s="15"/>
      <c r="S11" s="15"/>
      <c r="T11" s="15"/>
      <c r="U11" s="15"/>
    </row>
    <row r="12" spans="2:21" x14ac:dyDescent="0.25">
      <c r="B12" s="2">
        <v>2</v>
      </c>
      <c r="C12" s="4">
        <f>IF(ISERR(SMALL('Dados Falhas'!$K$11:$K$23,'Weibull Envasadora'!B12)),"",SMALL('Dados Falhas'!$K$11:$K$23,'Weibull Envasadora'!B12))</f>
        <v>60</v>
      </c>
      <c r="D12" s="101">
        <f>(B12-0.3)/(COUNT($B$11:$B$23)+0.4)</f>
        <v>0.12686567164179105</v>
      </c>
      <c r="E12" s="22">
        <f t="shared" si="0"/>
        <v>1.1452991452991454</v>
      </c>
      <c r="F12" s="22">
        <f t="shared" si="1"/>
        <v>-1.9975602901871035</v>
      </c>
      <c r="G12" s="22">
        <f t="shared" si="2"/>
        <v>4.0943445622221004</v>
      </c>
      <c r="M12" s="30"/>
      <c r="N12" s="30"/>
      <c r="O12" s="30"/>
      <c r="P12" s="30"/>
      <c r="Q12" s="30"/>
      <c r="R12" s="15"/>
      <c r="S12" s="15"/>
      <c r="T12" s="15"/>
      <c r="U12" s="15"/>
    </row>
    <row r="13" spans="2:21" x14ac:dyDescent="0.25">
      <c r="B13" s="2">
        <v>3</v>
      </c>
      <c r="C13" s="4">
        <f>IF(ISERR(SMALL('Dados Falhas'!$K$11:$K$23,'Weibull Envasadora'!B13)),"",SMALL('Dados Falhas'!$K$11:$K$23,'Weibull Envasadora'!B13))</f>
        <v>135</v>
      </c>
      <c r="D13" s="101">
        <f t="shared" ref="D13:D23" si="3">(B13-0.3)/(COUNT($B$11:$B$23)+0.4)</f>
        <v>0.20149253731343283</v>
      </c>
      <c r="E13" s="22">
        <f t="shared" si="0"/>
        <v>1.252336448598131</v>
      </c>
      <c r="F13" s="22">
        <f t="shared" si="1"/>
        <v>-1.4916061424585629</v>
      </c>
      <c r="G13" s="22">
        <f t="shared" si="2"/>
        <v>4.9052747784384296</v>
      </c>
      <c r="M13" s="24"/>
      <c r="N13" s="24"/>
      <c r="O13" s="24"/>
      <c r="P13" s="24"/>
      <c r="Q13" s="24"/>
      <c r="R13" s="15"/>
      <c r="S13" s="15"/>
      <c r="T13" s="15"/>
      <c r="U13" s="15"/>
    </row>
    <row r="14" spans="2:21" x14ac:dyDescent="0.25">
      <c r="B14" s="2">
        <v>4</v>
      </c>
      <c r="C14" s="4">
        <f>IF(ISERR(SMALL('Dados Falhas'!$K$11:$K$23,'Weibull Envasadora'!B14)),"",SMALL('Dados Falhas'!$K$11:$K$23,'Weibull Envasadora'!B14))</f>
        <v>315</v>
      </c>
      <c r="D14" s="101">
        <f t="shared" si="3"/>
        <v>0.27611940298507465</v>
      </c>
      <c r="E14" s="22">
        <f t="shared" si="0"/>
        <v>1.3814432989690721</v>
      </c>
      <c r="F14" s="22">
        <f t="shared" si="1"/>
        <v>-1.1297042072593073</v>
      </c>
      <c r="G14" s="22">
        <f t="shared" si="2"/>
        <v>5.7525726388256331</v>
      </c>
      <c r="M14" s="24"/>
      <c r="N14" s="24"/>
      <c r="O14" s="24"/>
      <c r="P14" s="24"/>
      <c r="Q14" s="24"/>
      <c r="R14" s="15"/>
      <c r="S14" s="15"/>
      <c r="T14" s="15"/>
      <c r="U14" s="15"/>
    </row>
    <row r="15" spans="2:21" x14ac:dyDescent="0.25">
      <c r="B15" s="2">
        <v>5</v>
      </c>
      <c r="C15" s="4">
        <f>IF(ISERR(SMALL('Dados Falhas'!$K$11:$K$23,'Weibull Envasadora'!B15)),"",SMALL('Dados Falhas'!$K$11:$K$23,'Weibull Envasadora'!B15))</f>
        <v>380</v>
      </c>
      <c r="D15" s="101">
        <f t="shared" si="3"/>
        <v>0.35074626865671643</v>
      </c>
      <c r="E15" s="22">
        <f t="shared" si="0"/>
        <v>1.5402298850574714</v>
      </c>
      <c r="F15" s="22">
        <f t="shared" si="1"/>
        <v>-0.83948784839167856</v>
      </c>
      <c r="G15" s="22">
        <f t="shared" si="2"/>
        <v>5.9401712527204316</v>
      </c>
      <c r="M15" s="24"/>
      <c r="N15" s="24"/>
      <c r="O15" s="24"/>
      <c r="P15" s="24"/>
      <c r="Q15" s="24"/>
      <c r="R15" s="15"/>
      <c r="S15" s="15"/>
      <c r="T15" s="15"/>
      <c r="U15" s="15"/>
    </row>
    <row r="16" spans="2:21" x14ac:dyDescent="0.25">
      <c r="B16" s="2">
        <v>6</v>
      </c>
      <c r="C16" s="4">
        <f>IF(ISERR(SMALL('Dados Falhas'!$K$11:$K$23,'Weibull Envasadora'!B16)),"",SMALL('Dados Falhas'!$K$11:$K$23,'Weibull Envasadora'!B16))</f>
        <v>465</v>
      </c>
      <c r="D16" s="101">
        <f t="shared" si="3"/>
        <v>0.42537313432835822</v>
      </c>
      <c r="E16" s="22">
        <f t="shared" si="0"/>
        <v>1.7402597402597402</v>
      </c>
      <c r="F16" s="22">
        <f t="shared" si="1"/>
        <v>-0.59052853983301801</v>
      </c>
      <c r="G16" s="22">
        <f t="shared" si="2"/>
        <v>6.1420374055873559</v>
      </c>
      <c r="I16" s="31" t="s">
        <v>26</v>
      </c>
      <c r="J16" s="8">
        <v>1800</v>
      </c>
      <c r="M16" s="15"/>
      <c r="N16" s="15"/>
      <c r="O16" s="15"/>
      <c r="P16" s="15"/>
      <c r="Q16" s="15"/>
      <c r="R16" s="15"/>
      <c r="S16" s="15"/>
      <c r="T16" s="15"/>
      <c r="U16" s="15"/>
    </row>
    <row r="17" spans="2:21" x14ac:dyDescent="0.25">
      <c r="B17" s="2">
        <v>7</v>
      </c>
      <c r="C17" s="4">
        <f>IF(ISERR(SMALL('Dados Falhas'!$K$11:$K$23,'Weibull Envasadora'!B17)),"",SMALL('Dados Falhas'!$K$11:$K$23,'Weibull Envasadora'!B17))</f>
        <v>465</v>
      </c>
      <c r="D17" s="101">
        <f t="shared" si="3"/>
        <v>0.5</v>
      </c>
      <c r="E17" s="22">
        <f t="shared" si="0"/>
        <v>2</v>
      </c>
      <c r="F17" s="22">
        <f t="shared" si="1"/>
        <v>-0.36651292058166435</v>
      </c>
      <c r="G17" s="22">
        <f t="shared" si="2"/>
        <v>6.1420374055873559</v>
      </c>
      <c r="I17" s="31" t="s">
        <v>9</v>
      </c>
      <c r="J17" s="37">
        <f>EXP(-((J16/$J$11)^$J$10))</f>
        <v>0.1011119306897159</v>
      </c>
      <c r="M17" s="30"/>
      <c r="N17" s="30"/>
      <c r="O17" s="30"/>
      <c r="P17" s="30"/>
      <c r="Q17" s="30"/>
      <c r="R17" s="30"/>
      <c r="S17" s="30"/>
      <c r="T17" s="30"/>
      <c r="U17" s="15"/>
    </row>
    <row r="18" spans="2:21" x14ac:dyDescent="0.25">
      <c r="B18" s="2">
        <v>8</v>
      </c>
      <c r="C18" s="4">
        <f>IF(ISERR(SMALL('Dados Falhas'!$K$11:$K$23,'Weibull Envasadora'!B18)),"",SMALL('Dados Falhas'!$K$11:$K$23,'Weibull Envasadora'!B18))</f>
        <v>645</v>
      </c>
      <c r="D18" s="101">
        <f t="shared" si="3"/>
        <v>0.57462686567164178</v>
      </c>
      <c r="E18" s="22">
        <f t="shared" si="0"/>
        <v>2.3508771929824559</v>
      </c>
      <c r="F18" s="22">
        <f t="shared" si="1"/>
        <v>-0.15690117149475494</v>
      </c>
      <c r="G18" s="22">
        <f t="shared" si="2"/>
        <v>6.4692503167957724</v>
      </c>
      <c r="M18" s="24"/>
      <c r="N18" s="24"/>
      <c r="O18" s="24"/>
      <c r="P18" s="24"/>
      <c r="Q18" s="24"/>
      <c r="R18" s="24"/>
      <c r="S18" s="24"/>
      <c r="T18" s="24"/>
      <c r="U18" s="15"/>
    </row>
    <row r="19" spans="2:21" x14ac:dyDescent="0.25">
      <c r="B19" s="2">
        <v>9</v>
      </c>
      <c r="C19" s="4">
        <f>IF(ISERR(SMALL('Dados Falhas'!$K$11:$K$23,'Weibull Envasadora'!B19)),"",SMALL('Dados Falhas'!$K$11:$K$23,'Weibull Envasadora'!B19))</f>
        <v>720</v>
      </c>
      <c r="D19" s="101">
        <f t="shared" si="3"/>
        <v>0.64925373134328346</v>
      </c>
      <c r="E19" s="22">
        <f t="shared" si="0"/>
        <v>2.8510638297872331</v>
      </c>
      <c r="F19" s="22">
        <f t="shared" si="1"/>
        <v>4.6589838790740565E-2</v>
      </c>
      <c r="G19" s="22">
        <f t="shared" si="2"/>
        <v>6.5792512120101012</v>
      </c>
      <c r="M19" s="24"/>
      <c r="N19" s="24"/>
      <c r="O19" s="24"/>
      <c r="P19" s="24"/>
      <c r="Q19" s="24"/>
      <c r="R19" s="24"/>
      <c r="S19" s="24"/>
      <c r="T19" s="24"/>
      <c r="U19" s="15"/>
    </row>
    <row r="20" spans="2:21" x14ac:dyDescent="0.25">
      <c r="B20" s="2">
        <v>10</v>
      </c>
      <c r="C20" s="4">
        <f>IF(ISERR(SMALL('Dados Falhas'!$K$11:$K$23,'Weibull Envasadora'!B20)),"",SMALL('Dados Falhas'!$K$11:$K$23,'Weibull Envasadora'!B20))</f>
        <v>775</v>
      </c>
      <c r="D20" s="101">
        <f>(B20-0.3)/(COUNT($B$11:$B$23)+0.4)</f>
        <v>0.72388059701492535</v>
      </c>
      <c r="E20" s="22">
        <f t="shared" si="0"/>
        <v>3.6216216216216215</v>
      </c>
      <c r="F20" s="22">
        <f t="shared" si="1"/>
        <v>0.25225323314865927</v>
      </c>
      <c r="G20" s="22">
        <f t="shared" si="2"/>
        <v>6.6528630293533473</v>
      </c>
      <c r="M20" s="15"/>
      <c r="N20" s="15"/>
      <c r="O20" s="15"/>
      <c r="P20" s="15"/>
      <c r="Q20" s="15"/>
      <c r="R20" s="15"/>
      <c r="S20" s="15"/>
      <c r="T20" s="15"/>
      <c r="U20" s="15"/>
    </row>
    <row r="21" spans="2:21" x14ac:dyDescent="0.25">
      <c r="B21" s="2">
        <v>11</v>
      </c>
      <c r="C21" s="4">
        <f>IF(ISERR(SMALL('Dados Falhas'!$K$11:$K$23,'Weibull Envasadora'!B21)),"",SMALL('Dados Falhas'!$K$11:$K$23,'Weibull Envasadora'!B21))</f>
        <v>810</v>
      </c>
      <c r="D21" s="101">
        <f t="shared" si="3"/>
        <v>0.79850746268656714</v>
      </c>
      <c r="E21" s="4">
        <f t="shared" si="0"/>
        <v>4.9629629629629619</v>
      </c>
      <c r="F21" s="109">
        <f t="shared" si="1"/>
        <v>0.47125468007182003</v>
      </c>
      <c r="G21" s="22">
        <f t="shared" si="2"/>
        <v>6.6970342476664841</v>
      </c>
      <c r="M21" s="15"/>
      <c r="N21" s="15"/>
      <c r="O21" s="15"/>
      <c r="P21" s="15"/>
      <c r="Q21" s="15"/>
      <c r="R21" s="15"/>
      <c r="S21" s="15"/>
      <c r="T21" s="15"/>
      <c r="U21" s="15"/>
    </row>
    <row r="22" spans="2:21" x14ac:dyDescent="0.25">
      <c r="B22" s="2">
        <v>12</v>
      </c>
      <c r="C22" s="4">
        <f>IF(ISERR(SMALL('Dados Falhas'!$K$11:$K$23,'Weibull Envasadora'!B22)),"",SMALL('Dados Falhas'!$K$11:$K$23,'Weibull Envasadora'!B22))</f>
        <v>1260</v>
      </c>
      <c r="D22" s="101">
        <f t="shared" si="3"/>
        <v>0.87313432835820892</v>
      </c>
      <c r="E22" s="4">
        <f t="shared" si="0"/>
        <v>7.8823529411764683</v>
      </c>
      <c r="F22" s="109">
        <f t="shared" si="1"/>
        <v>0.72494931702067533</v>
      </c>
      <c r="G22" s="22">
        <f t="shared" si="2"/>
        <v>7.1388669999455239</v>
      </c>
      <c r="K22" s="15"/>
    </row>
    <row r="23" spans="2:21" x14ac:dyDescent="0.25">
      <c r="B23" s="3">
        <v>13</v>
      </c>
      <c r="C23" s="4">
        <f>IF(ISERR(SMALL('Dados Falhas'!$K$11:$K$23,'Weibull Envasadora'!B23)),"",SMALL('Dados Falhas'!$K$11:$K$23,'Weibull Envasadora'!B23))</f>
        <v>3095</v>
      </c>
      <c r="D23" s="108">
        <f t="shared" si="3"/>
        <v>0.94776119402985071</v>
      </c>
      <c r="E23" s="5">
        <f t="shared" si="0"/>
        <v>19.142857142857128</v>
      </c>
      <c r="F23" s="110">
        <f t="shared" si="1"/>
        <v>1.0824590754568368</v>
      </c>
      <c r="G23" s="23">
        <f t="shared" si="2"/>
        <v>8.0375431851186967</v>
      </c>
      <c r="K23" s="15"/>
    </row>
    <row r="24" spans="2:21" x14ac:dyDescent="0.25">
      <c r="C24" s="11"/>
      <c r="I24" s="30"/>
      <c r="J24" s="30"/>
      <c r="K24" s="30"/>
      <c r="L24" s="15"/>
    </row>
    <row r="25" spans="2:21" x14ac:dyDescent="0.25">
      <c r="I25" s="24"/>
      <c r="J25" s="24"/>
      <c r="K25" s="24"/>
      <c r="L25" s="15"/>
    </row>
    <row r="26" spans="2:21" x14ac:dyDescent="0.25">
      <c r="I26" s="24"/>
      <c r="J26" s="24"/>
      <c r="K26" s="24"/>
      <c r="L26" s="15"/>
    </row>
    <row r="27" spans="2:21" x14ac:dyDescent="0.25">
      <c r="I27" s="24"/>
      <c r="J27" s="24"/>
      <c r="K27" s="24"/>
      <c r="L27" s="15"/>
    </row>
    <row r="28" spans="2:21" x14ac:dyDescent="0.25">
      <c r="I28" s="24"/>
      <c r="J28" s="24"/>
      <c r="K28" s="24"/>
      <c r="L28" s="15"/>
    </row>
    <row r="29" spans="2:21" x14ac:dyDescent="0.25">
      <c r="I29" s="24"/>
      <c r="J29" s="24"/>
      <c r="K29" s="24"/>
      <c r="L29" s="15"/>
    </row>
    <row r="30" spans="2:21" x14ac:dyDescent="0.25">
      <c r="I30" s="24"/>
      <c r="J30" s="24"/>
      <c r="K30" s="24"/>
      <c r="L30" s="15"/>
    </row>
    <row r="31" spans="2:21" x14ac:dyDescent="0.25">
      <c r="I31" s="24"/>
      <c r="J31" s="24"/>
      <c r="K31" s="24"/>
      <c r="L31" s="15"/>
    </row>
    <row r="32" spans="2:21" x14ac:dyDescent="0.25">
      <c r="I32" s="24"/>
      <c r="J32" s="24"/>
      <c r="K32" s="24"/>
      <c r="L32" s="15"/>
    </row>
    <row r="33" spans="2:12" x14ac:dyDescent="0.25">
      <c r="I33" s="24"/>
      <c r="J33" s="24"/>
      <c r="K33" s="24"/>
      <c r="L33" s="15"/>
    </row>
    <row r="34" spans="2:12" x14ac:dyDescent="0.25">
      <c r="I34" s="24"/>
      <c r="J34" s="24"/>
      <c r="K34" s="24"/>
      <c r="L34" s="15"/>
    </row>
    <row r="35" spans="2:12" x14ac:dyDescent="0.25">
      <c r="I35" s="24"/>
      <c r="J35" s="24"/>
      <c r="K35" s="24"/>
      <c r="L35" s="15"/>
    </row>
    <row r="36" spans="2:12" x14ac:dyDescent="0.25">
      <c r="I36" s="24"/>
      <c r="J36" s="24"/>
      <c r="K36" s="24"/>
      <c r="L36" s="15"/>
    </row>
    <row r="37" spans="2:12" x14ac:dyDescent="0.25">
      <c r="I37" s="24"/>
      <c r="J37" s="24"/>
      <c r="K37" s="24"/>
      <c r="L37" s="15"/>
    </row>
    <row r="38" spans="2:12" x14ac:dyDescent="0.25">
      <c r="I38" s="24"/>
      <c r="J38" s="24"/>
      <c r="K38" s="24"/>
      <c r="L38" s="15"/>
    </row>
    <row r="39" spans="2:12" x14ac:dyDescent="0.25">
      <c r="I39" s="24"/>
      <c r="J39" s="24"/>
      <c r="K39" s="24"/>
      <c r="L39" s="15"/>
    </row>
    <row r="40" spans="2:12" x14ac:dyDescent="0.25">
      <c r="B40" s="24"/>
      <c r="C40" s="24"/>
      <c r="D40" s="24"/>
      <c r="E40" s="15"/>
      <c r="I40" s="24"/>
      <c r="J40" s="24"/>
      <c r="K40" s="24"/>
      <c r="L40" s="15"/>
    </row>
    <row r="41" spans="2:12" x14ac:dyDescent="0.25">
      <c r="B41" s="24"/>
      <c r="C41" s="24"/>
      <c r="D41" s="24"/>
      <c r="E41" s="15"/>
      <c r="I41" s="24"/>
      <c r="J41" s="24"/>
      <c r="K41" s="24"/>
      <c r="L41" s="15"/>
    </row>
    <row r="42" spans="2:12" x14ac:dyDescent="0.25">
      <c r="B42" s="24"/>
      <c r="C42" s="24"/>
      <c r="D42" s="24"/>
      <c r="E42" s="15"/>
      <c r="I42" s="24"/>
      <c r="J42" s="24"/>
      <c r="K42" s="24"/>
      <c r="L42" s="15"/>
    </row>
    <row r="43" spans="2:12" x14ac:dyDescent="0.25">
      <c r="B43" s="24"/>
      <c r="C43" s="24"/>
      <c r="D43" s="24"/>
      <c r="E43" s="15"/>
      <c r="I43" s="24"/>
      <c r="J43" s="24"/>
      <c r="K43" s="24"/>
      <c r="L43" s="15"/>
    </row>
    <row r="44" spans="2:12" x14ac:dyDescent="0.25">
      <c r="B44" s="24"/>
      <c r="C44" s="24"/>
      <c r="D44" s="24"/>
      <c r="E44" s="15"/>
      <c r="I44" s="15"/>
      <c r="J44" s="15"/>
      <c r="K44" s="15"/>
      <c r="L44" s="15"/>
    </row>
    <row r="45" spans="2:12" x14ac:dyDescent="0.25">
      <c r="B45" s="24"/>
      <c r="C45" s="24"/>
      <c r="D45" s="24"/>
      <c r="E45" s="15"/>
      <c r="I45" s="15"/>
      <c r="J45" s="15"/>
      <c r="K45" s="15"/>
      <c r="L45" s="15"/>
    </row>
    <row r="46" spans="2:12" x14ac:dyDescent="0.25">
      <c r="B46" s="15"/>
      <c r="C46" s="15"/>
      <c r="D46" s="15"/>
      <c r="E46" s="15"/>
    </row>
    <row r="47" spans="2:12" x14ac:dyDescent="0.25">
      <c r="B47" s="15"/>
      <c r="C47" s="15"/>
      <c r="D47" s="15"/>
      <c r="E47" s="15"/>
    </row>
  </sheetData>
  <sortState xmlns:xlrd2="http://schemas.microsoft.com/office/spreadsheetml/2017/richdata2" ref="C11:C23">
    <sortCondition ref="C4"/>
  </sortState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B2:V47"/>
  <sheetViews>
    <sheetView showGridLines="0" zoomScaleNormal="100" workbookViewId="0">
      <selection activeCell="I10" sqref="I10:I11"/>
    </sheetView>
  </sheetViews>
  <sheetFormatPr defaultRowHeight="15" x14ac:dyDescent="0.25"/>
  <cols>
    <col min="2" max="2" width="6" bestFit="1" customWidth="1"/>
    <col min="3" max="3" width="12.7109375" bestFit="1" customWidth="1"/>
    <col min="4" max="4" width="14.28515625" bestFit="1" customWidth="1"/>
    <col min="5" max="5" width="16.42578125" bestFit="1" customWidth="1"/>
    <col min="6" max="6" width="24" bestFit="1" customWidth="1"/>
    <col min="7" max="7" width="16.42578125" bestFit="1" customWidth="1"/>
    <col min="8" max="8" width="24.85546875" bestFit="1" customWidth="1"/>
    <col min="9" max="9" width="17.140625" bestFit="1" customWidth="1"/>
    <col min="10" max="10" width="14.140625" customWidth="1"/>
    <col min="11" max="11" width="12.7109375" bestFit="1" customWidth="1"/>
    <col min="13" max="13" width="16" bestFit="1" customWidth="1"/>
    <col min="15" max="15" width="13.7109375" bestFit="1" customWidth="1"/>
    <col min="16" max="17" width="14.5703125" bestFit="1" customWidth="1"/>
  </cols>
  <sheetData>
    <row r="2" spans="2:22" x14ac:dyDescent="0.25"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</row>
    <row r="3" spans="2:22" x14ac:dyDescent="0.25"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</row>
    <row r="4" spans="2:22" x14ac:dyDescent="0.25">
      <c r="L4" s="96"/>
      <c r="M4" s="96"/>
      <c r="N4" s="15"/>
      <c r="O4" s="15"/>
      <c r="P4" s="15"/>
      <c r="Q4" s="15"/>
      <c r="R4" s="15"/>
      <c r="S4" s="15"/>
      <c r="T4" s="15"/>
      <c r="U4" s="15"/>
      <c r="V4" s="15"/>
    </row>
    <row r="5" spans="2:22" x14ac:dyDescent="0.25">
      <c r="L5" s="24"/>
      <c r="M5" s="24"/>
      <c r="N5" s="15"/>
      <c r="O5" s="15"/>
      <c r="P5" s="15"/>
      <c r="Q5" s="15"/>
      <c r="R5" s="15"/>
      <c r="S5" s="15"/>
      <c r="T5" s="15"/>
      <c r="U5" s="15"/>
      <c r="V5" s="15"/>
    </row>
    <row r="6" spans="2:22" ht="39" x14ac:dyDescent="0.25">
      <c r="B6" s="207" t="s">
        <v>111</v>
      </c>
      <c r="C6" s="207"/>
      <c r="D6" s="207"/>
      <c r="E6" s="207"/>
      <c r="F6" s="207"/>
      <c r="G6" s="207"/>
      <c r="H6" s="207"/>
      <c r="I6" s="207"/>
      <c r="J6" s="207"/>
      <c r="K6" s="207"/>
      <c r="L6" s="24"/>
      <c r="M6" s="24"/>
      <c r="N6" s="15"/>
      <c r="O6" s="15"/>
      <c r="P6" s="15"/>
      <c r="Q6" s="15"/>
      <c r="R6" s="15"/>
      <c r="S6" s="15"/>
      <c r="T6" s="15"/>
      <c r="U6" s="15"/>
      <c r="V6" s="15"/>
    </row>
    <row r="7" spans="2:22" x14ac:dyDescent="0.25">
      <c r="L7" s="24"/>
      <c r="M7" s="24"/>
      <c r="N7" s="15"/>
      <c r="O7" s="15"/>
      <c r="P7" s="15"/>
      <c r="Q7" s="15"/>
      <c r="R7" s="15"/>
      <c r="S7" s="15"/>
      <c r="T7" s="15"/>
      <c r="U7" s="15"/>
      <c r="V7" s="15"/>
    </row>
    <row r="8" spans="2:22" x14ac:dyDescent="0.25">
      <c r="L8" s="24"/>
      <c r="M8" s="24"/>
      <c r="N8" s="15"/>
      <c r="O8" s="15"/>
      <c r="P8" s="15"/>
      <c r="Q8" s="15"/>
      <c r="R8" s="15"/>
      <c r="S8" s="15"/>
      <c r="T8" s="15"/>
      <c r="U8" s="15"/>
      <c r="V8" s="15"/>
    </row>
    <row r="9" spans="2:22" x14ac:dyDescent="0.25">
      <c r="L9" s="24"/>
      <c r="M9" s="24"/>
      <c r="N9" s="15"/>
      <c r="O9" s="15"/>
      <c r="P9" s="15"/>
      <c r="Q9" s="15"/>
      <c r="R9" s="15"/>
      <c r="S9" s="15"/>
      <c r="T9" s="15"/>
      <c r="U9" s="15"/>
      <c r="V9" s="15"/>
    </row>
    <row r="10" spans="2:22" x14ac:dyDescent="0.25">
      <c r="B10" s="31" t="s">
        <v>18</v>
      </c>
      <c r="C10" s="231" t="s">
        <v>17</v>
      </c>
      <c r="D10" s="231" t="s">
        <v>19</v>
      </c>
      <c r="E10" s="31" t="s">
        <v>20</v>
      </c>
      <c r="F10" s="31" t="s">
        <v>21</v>
      </c>
      <c r="G10" s="31" t="s">
        <v>22</v>
      </c>
      <c r="I10" s="206" t="s">
        <v>25</v>
      </c>
      <c r="J10" s="111">
        <f>SLOPE(F11:F17,G11:G17)</f>
        <v>0.68336845890158693</v>
      </c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2:22" x14ac:dyDescent="0.25">
      <c r="B11" s="2">
        <v>1</v>
      </c>
      <c r="C11" s="104">
        <f>IF(ISERR(SMALL('Dados Falhas'!$M$11:$M$35,'Weibull Líquidos'!B11)),"",SMALL('Dados Falhas'!$M$11:$M$35,'Weibull Líquidos'!B11))</f>
        <v>60</v>
      </c>
      <c r="D11" s="17">
        <f>(B11-0.3)/(COUNT($B$11:$B$17)+0.4)</f>
        <v>9.4594594594594586E-2</v>
      </c>
      <c r="E11" s="32">
        <f t="shared" ref="E11:E17" si="0">1/(1-D11)</f>
        <v>1.1044776119402986</v>
      </c>
      <c r="F11" s="21">
        <f t="shared" ref="F11:F17" si="1">LN(LN(E11))</f>
        <v>-2.308880127078389</v>
      </c>
      <c r="G11" s="21">
        <f t="shared" ref="G11:G17" si="2">LN(C11)</f>
        <v>4.0943445622221004</v>
      </c>
      <c r="I11" s="206" t="s">
        <v>24</v>
      </c>
      <c r="J11" s="111">
        <f>EXP(-(INTERCEPT(F11:F17,G11:G17)/J10))</f>
        <v>1245.7407358149983</v>
      </c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</row>
    <row r="12" spans="2:22" x14ac:dyDescent="0.25">
      <c r="B12" s="2">
        <v>2</v>
      </c>
      <c r="C12" s="105">
        <f>IF(ISERR(SMALL('Dados Falhas'!$M$11:$M$35,'Weibull Líquidos'!B12)),"",SMALL('Dados Falhas'!$M$11:$M$35,'Weibull Líquidos'!B12))</f>
        <v>140</v>
      </c>
      <c r="D12" s="18">
        <f t="shared" ref="D12:D17" si="3">(B12-0.3)/(COUNT($B$11:$B$17)+0.4)</f>
        <v>0.22972972972972971</v>
      </c>
      <c r="E12" s="33">
        <f t="shared" si="0"/>
        <v>1.2982456140350878</v>
      </c>
      <c r="F12" s="22">
        <f t="shared" si="1"/>
        <v>-1.3431819022975189</v>
      </c>
      <c r="G12" s="22">
        <f t="shared" si="2"/>
        <v>4.9416424226093039</v>
      </c>
      <c r="L12" s="30"/>
      <c r="M12" s="30"/>
      <c r="N12" s="30"/>
      <c r="O12" s="30"/>
      <c r="P12" s="30"/>
      <c r="Q12" s="30"/>
      <c r="R12" s="15"/>
      <c r="S12" s="15"/>
      <c r="T12" s="15"/>
      <c r="U12" s="15"/>
      <c r="V12" s="15"/>
    </row>
    <row r="13" spans="2:22" x14ac:dyDescent="0.25">
      <c r="B13" s="2">
        <v>3</v>
      </c>
      <c r="C13" s="105">
        <f>IF(ISERR(SMALL('Dados Falhas'!$M$11:$M$35,'Weibull Líquidos'!B13)),"",SMALL('Dados Falhas'!$M$11:$M$35,'Weibull Líquidos'!B13))</f>
        <v>375</v>
      </c>
      <c r="D13" s="18">
        <f t="shared" si="3"/>
        <v>0.36486486486486486</v>
      </c>
      <c r="E13" s="33">
        <f t="shared" si="0"/>
        <v>1.574468085106383</v>
      </c>
      <c r="F13" s="22">
        <f t="shared" si="1"/>
        <v>-0.78983983425403381</v>
      </c>
      <c r="G13" s="22">
        <f t="shared" si="2"/>
        <v>5.9269260259704106</v>
      </c>
      <c r="L13" s="24"/>
      <c r="M13" s="24"/>
      <c r="N13" s="24"/>
      <c r="O13" s="24"/>
      <c r="P13" s="24"/>
      <c r="Q13" s="24"/>
      <c r="R13" s="15"/>
      <c r="S13" s="15"/>
      <c r="T13" s="15"/>
      <c r="U13" s="15"/>
      <c r="V13" s="15"/>
    </row>
    <row r="14" spans="2:22" x14ac:dyDescent="0.25">
      <c r="B14" s="2">
        <v>4</v>
      </c>
      <c r="C14" s="105">
        <f>IF(ISERR(SMALL('Dados Falhas'!$M$11:$M$35,'Weibull Líquidos'!B14)),"",SMALL('Dados Falhas'!$M$11:$M$35,'Weibull Líquidos'!B14))</f>
        <v>620</v>
      </c>
      <c r="D14" s="18">
        <f t="shared" si="3"/>
        <v>0.5</v>
      </c>
      <c r="E14" s="33">
        <f t="shared" si="0"/>
        <v>2</v>
      </c>
      <c r="F14" s="22">
        <f t="shared" si="1"/>
        <v>-0.36651292058166435</v>
      </c>
      <c r="G14" s="22">
        <f t="shared" si="2"/>
        <v>6.4297194780391376</v>
      </c>
      <c r="L14" s="24"/>
      <c r="M14" s="24"/>
      <c r="N14" s="24"/>
      <c r="O14" s="24"/>
      <c r="P14" s="24"/>
      <c r="Q14" s="24"/>
      <c r="R14" s="15"/>
      <c r="S14" s="15"/>
      <c r="T14" s="15"/>
      <c r="U14" s="15"/>
      <c r="V14" s="15"/>
    </row>
    <row r="15" spans="2:22" x14ac:dyDescent="0.25">
      <c r="B15" s="2">
        <v>5</v>
      </c>
      <c r="C15" s="105">
        <f>IF(ISERR(SMALL('Dados Falhas'!$M$11:$M$35,'Weibull Líquidos'!B15)),"",SMALL('Dados Falhas'!$M$11:$M$35,'Weibull Líquidos'!B15))</f>
        <v>1075</v>
      </c>
      <c r="D15" s="18">
        <f t="shared" si="3"/>
        <v>0.63513513513513509</v>
      </c>
      <c r="E15" s="33">
        <f t="shared" si="0"/>
        <v>2.7407407407407405</v>
      </c>
      <c r="F15" s="22">
        <f t="shared" si="1"/>
        <v>8.1945598938292404E-3</v>
      </c>
      <c r="G15" s="22">
        <f t="shared" si="2"/>
        <v>6.9800759405617629</v>
      </c>
      <c r="L15" s="24"/>
      <c r="M15" s="24"/>
      <c r="N15" s="24"/>
      <c r="O15" s="24"/>
      <c r="P15" s="24"/>
      <c r="Q15" s="24"/>
      <c r="R15" s="15"/>
      <c r="S15" s="15"/>
      <c r="T15" s="15"/>
      <c r="U15" s="15"/>
      <c r="V15" s="15"/>
    </row>
    <row r="16" spans="2:22" x14ac:dyDescent="0.25">
      <c r="B16" s="2">
        <v>6</v>
      </c>
      <c r="C16" s="105">
        <f>IF(ISERR(SMALL('Dados Falhas'!$M$11:$M$35,'Weibull Líquidos'!B16)),"",SMALL('Dados Falhas'!$M$11:$M$35,'Weibull Líquidos'!B16))</f>
        <v>2160</v>
      </c>
      <c r="D16" s="18">
        <f t="shared" si="3"/>
        <v>0.77027027027027029</v>
      </c>
      <c r="E16" s="33">
        <f t="shared" si="0"/>
        <v>4.3529411764705888</v>
      </c>
      <c r="F16" s="22">
        <f t="shared" si="1"/>
        <v>0.38584165418008665</v>
      </c>
      <c r="G16" s="22">
        <f t="shared" si="2"/>
        <v>7.6778635006782103</v>
      </c>
      <c r="I16" s="112" t="s">
        <v>26</v>
      </c>
      <c r="J16" s="35">
        <v>1800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</row>
    <row r="17" spans="2:22" x14ac:dyDescent="0.25">
      <c r="B17" s="3">
        <v>7</v>
      </c>
      <c r="C17" s="106">
        <f>IF(ISERR(SMALL('Dados Falhas'!$M$11:$M$35,'Weibull Líquidos'!B17)),"",SMALL('Dados Falhas'!$M$11:$M$35,'Weibull Líquidos'!B17))</f>
        <v>5639</v>
      </c>
      <c r="D17" s="19">
        <f t="shared" si="3"/>
        <v>0.90540540540540537</v>
      </c>
      <c r="E17" s="102">
        <f t="shared" si="0"/>
        <v>10.571428571428568</v>
      </c>
      <c r="F17" s="23">
        <f t="shared" si="1"/>
        <v>0.85787950994316486</v>
      </c>
      <c r="G17" s="23">
        <f t="shared" si="2"/>
        <v>8.6374620238071813</v>
      </c>
      <c r="I17" s="112" t="s">
        <v>9</v>
      </c>
      <c r="J17" s="31">
        <f>EXP(-((J16/$J$11)^$J$10))</f>
        <v>0.27638065709823162</v>
      </c>
      <c r="L17" s="30"/>
      <c r="M17" s="30"/>
      <c r="N17" s="30"/>
      <c r="O17" s="30"/>
      <c r="P17" s="30"/>
      <c r="Q17" s="30"/>
      <c r="R17" s="30"/>
      <c r="S17" s="30"/>
      <c r="T17" s="30"/>
      <c r="U17" s="15"/>
      <c r="V17" s="15"/>
    </row>
    <row r="18" spans="2:22" x14ac:dyDescent="0.25">
      <c r="B18" s="28"/>
      <c r="D18" s="20"/>
      <c r="E18" s="29"/>
      <c r="F18" s="29"/>
      <c r="G18" s="29"/>
      <c r="L18" s="24"/>
      <c r="M18" s="24"/>
      <c r="N18" s="24"/>
      <c r="O18" s="24"/>
      <c r="P18" s="24"/>
      <c r="Q18" s="24"/>
      <c r="R18" s="24"/>
      <c r="S18" s="24"/>
      <c r="T18" s="24"/>
      <c r="U18" s="15"/>
      <c r="V18" s="15"/>
    </row>
    <row r="19" spans="2:22" x14ac:dyDescent="0.25">
      <c r="L19" s="24"/>
      <c r="M19" s="24"/>
      <c r="N19" s="24"/>
      <c r="O19" s="24"/>
      <c r="P19" s="24"/>
      <c r="Q19" s="24"/>
      <c r="R19" s="24"/>
      <c r="S19" s="24"/>
      <c r="T19" s="24"/>
      <c r="U19" s="15"/>
      <c r="V19" s="15"/>
    </row>
    <row r="20" spans="2:22" x14ac:dyDescent="0.25"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</row>
    <row r="22" spans="2:22" x14ac:dyDescent="0.25">
      <c r="I22" s="15"/>
      <c r="J22" s="15"/>
      <c r="K22" s="15"/>
      <c r="L22" s="15"/>
    </row>
    <row r="23" spans="2:22" x14ac:dyDescent="0.25">
      <c r="I23" s="15"/>
      <c r="J23" s="15"/>
      <c r="K23" s="15"/>
      <c r="L23" s="15"/>
    </row>
    <row r="24" spans="2:22" x14ac:dyDescent="0.25">
      <c r="I24" s="30"/>
      <c r="J24" s="30"/>
      <c r="K24" s="30"/>
      <c r="L24" s="15"/>
    </row>
    <row r="25" spans="2:22" x14ac:dyDescent="0.25">
      <c r="I25" s="24"/>
      <c r="J25" s="24"/>
      <c r="K25" s="24"/>
      <c r="L25" s="15"/>
    </row>
    <row r="26" spans="2:22" x14ac:dyDescent="0.25">
      <c r="I26" s="24"/>
      <c r="J26" s="24"/>
      <c r="K26" s="24"/>
      <c r="L26" s="15"/>
    </row>
    <row r="27" spans="2:22" x14ac:dyDescent="0.25">
      <c r="I27" s="24"/>
      <c r="J27" s="24"/>
      <c r="K27" s="24"/>
      <c r="L27" s="15"/>
    </row>
    <row r="28" spans="2:22" x14ac:dyDescent="0.25">
      <c r="I28" s="24"/>
      <c r="J28" s="24"/>
      <c r="K28" s="24"/>
      <c r="L28" s="15"/>
    </row>
    <row r="29" spans="2:22" x14ac:dyDescent="0.25">
      <c r="I29" s="24"/>
      <c r="J29" s="24"/>
      <c r="K29" s="24"/>
      <c r="L29" s="15"/>
    </row>
    <row r="30" spans="2:22" x14ac:dyDescent="0.25">
      <c r="I30" s="24"/>
      <c r="J30" s="24"/>
      <c r="K30" s="24"/>
      <c r="L30" s="15"/>
    </row>
    <row r="31" spans="2:22" x14ac:dyDescent="0.25">
      <c r="I31" s="24"/>
      <c r="J31" s="24"/>
      <c r="K31" s="24"/>
      <c r="L31" s="15"/>
    </row>
    <row r="32" spans="2:22" x14ac:dyDescent="0.25">
      <c r="I32" s="24"/>
      <c r="J32" s="24"/>
      <c r="K32" s="24"/>
      <c r="L32" s="15"/>
    </row>
    <row r="33" spans="2:12" x14ac:dyDescent="0.25">
      <c r="I33" s="24"/>
      <c r="J33" s="24"/>
      <c r="K33" s="24"/>
      <c r="L33" s="15"/>
    </row>
    <row r="34" spans="2:12" x14ac:dyDescent="0.25">
      <c r="I34" s="24"/>
      <c r="J34" s="24"/>
      <c r="K34" s="24"/>
      <c r="L34" s="15"/>
    </row>
    <row r="35" spans="2:12" x14ac:dyDescent="0.25">
      <c r="B35" s="15"/>
      <c r="C35" s="15"/>
      <c r="D35" s="15"/>
      <c r="E35" s="15"/>
      <c r="I35" s="24"/>
      <c r="J35" s="24"/>
      <c r="K35" s="24"/>
      <c r="L35" s="15"/>
    </row>
    <row r="36" spans="2:12" x14ac:dyDescent="0.25">
      <c r="B36" s="15"/>
      <c r="C36" s="15"/>
      <c r="D36" s="15"/>
      <c r="E36" s="15"/>
      <c r="I36" s="24"/>
      <c r="J36" s="24"/>
      <c r="K36" s="24"/>
      <c r="L36" s="15"/>
    </row>
    <row r="37" spans="2:12" x14ac:dyDescent="0.25">
      <c r="B37" s="30"/>
      <c r="C37" s="30"/>
      <c r="D37" s="30"/>
      <c r="E37" s="15"/>
      <c r="I37" s="24"/>
      <c r="J37" s="24"/>
      <c r="K37" s="24"/>
      <c r="L37" s="15"/>
    </row>
    <row r="38" spans="2:12" x14ac:dyDescent="0.25">
      <c r="B38" s="24"/>
      <c r="C38" s="24"/>
      <c r="D38" s="24"/>
      <c r="E38" s="15"/>
      <c r="I38" s="24"/>
      <c r="J38" s="24"/>
      <c r="K38" s="24"/>
      <c r="L38" s="15"/>
    </row>
    <row r="39" spans="2:12" x14ac:dyDescent="0.25">
      <c r="B39" s="24"/>
      <c r="C39" s="24"/>
      <c r="D39" s="24"/>
      <c r="E39" s="15"/>
      <c r="I39" s="24"/>
      <c r="J39" s="24"/>
      <c r="K39" s="24"/>
      <c r="L39" s="15"/>
    </row>
    <row r="40" spans="2:12" x14ac:dyDescent="0.25">
      <c r="B40" s="24"/>
      <c r="C40" s="24"/>
      <c r="D40" s="24"/>
      <c r="E40" s="15"/>
      <c r="I40" s="24"/>
      <c r="J40" s="24"/>
      <c r="K40" s="24"/>
      <c r="L40" s="15"/>
    </row>
    <row r="41" spans="2:12" x14ac:dyDescent="0.25">
      <c r="B41" s="24"/>
      <c r="C41" s="24"/>
      <c r="D41" s="24"/>
      <c r="E41" s="15"/>
      <c r="I41" s="24"/>
      <c r="J41" s="24"/>
      <c r="K41" s="24"/>
      <c r="L41" s="15"/>
    </row>
    <row r="42" spans="2:12" x14ac:dyDescent="0.25">
      <c r="B42" s="24"/>
      <c r="C42" s="24"/>
      <c r="D42" s="24"/>
      <c r="E42" s="15"/>
      <c r="I42" s="24"/>
      <c r="J42" s="24"/>
      <c r="K42" s="24"/>
      <c r="L42" s="15"/>
    </row>
    <row r="43" spans="2:12" x14ac:dyDescent="0.25">
      <c r="B43" s="24"/>
      <c r="C43" s="24"/>
      <c r="D43" s="24"/>
      <c r="E43" s="15"/>
      <c r="I43" s="24"/>
      <c r="J43" s="24"/>
      <c r="K43" s="24"/>
      <c r="L43" s="15"/>
    </row>
    <row r="44" spans="2:12" x14ac:dyDescent="0.25">
      <c r="B44" s="24"/>
      <c r="C44" s="24"/>
      <c r="D44" s="24"/>
      <c r="E44" s="15"/>
      <c r="I44" s="15"/>
      <c r="J44" s="15"/>
      <c r="K44" s="15"/>
      <c r="L44" s="15"/>
    </row>
    <row r="45" spans="2:12" x14ac:dyDescent="0.25">
      <c r="B45" s="24"/>
      <c r="C45" s="24"/>
      <c r="D45" s="24"/>
      <c r="E45" s="15"/>
      <c r="I45" s="15"/>
      <c r="J45" s="15"/>
      <c r="K45" s="15"/>
      <c r="L45" s="15"/>
    </row>
    <row r="46" spans="2:12" x14ac:dyDescent="0.25">
      <c r="B46" s="15"/>
      <c r="C46" s="15"/>
      <c r="D46" s="15"/>
      <c r="E46" s="15"/>
    </row>
    <row r="47" spans="2:12" x14ac:dyDescent="0.25">
      <c r="B47" s="15"/>
      <c r="C47" s="15"/>
      <c r="D47" s="15"/>
      <c r="E47" s="15"/>
    </row>
  </sheetData>
  <sortState xmlns:xlrd2="http://schemas.microsoft.com/office/spreadsheetml/2017/richdata2" ref="C11:C17">
    <sortCondition ref="C4"/>
  </sortState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4:J70"/>
  <sheetViews>
    <sheetView showGridLines="0" zoomScale="80" zoomScaleNormal="80" workbookViewId="0">
      <selection activeCell="C14" sqref="C14"/>
    </sheetView>
  </sheetViews>
  <sheetFormatPr defaultRowHeight="15" x14ac:dyDescent="0.25"/>
  <cols>
    <col min="2" max="2" width="8.5703125" customWidth="1"/>
    <col min="3" max="8" width="14.7109375" customWidth="1"/>
    <col min="9" max="9" width="4.7109375" customWidth="1"/>
  </cols>
  <sheetData>
    <row r="4" spans="1:10" x14ac:dyDescent="0.25">
      <c r="B4" s="206" t="s">
        <v>25</v>
      </c>
      <c r="C4" s="78">
        <f>'Weibull Prensa IV'!J10</f>
        <v>1.1794236479835711</v>
      </c>
      <c r="D4" s="78">
        <f>'Weibull Misturador'!J10</f>
        <v>1.0335909130265837</v>
      </c>
      <c r="E4" s="78">
        <f>'Weibull Prensa I'!J10</f>
        <v>0.73795293416894481</v>
      </c>
      <c r="F4" s="78">
        <f>'Weibull Embaladora'!J10</f>
        <v>0.7110861761707058</v>
      </c>
      <c r="G4" s="78">
        <f>'Weibull Envasadora'!J10</f>
        <v>0.91540968557855995</v>
      </c>
      <c r="H4" s="78">
        <f>'Weibull Líquidos'!J10</f>
        <v>0.68336845890158693</v>
      </c>
    </row>
    <row r="5" spans="1:10" x14ac:dyDescent="0.25">
      <c r="B5" s="206" t="s">
        <v>24</v>
      </c>
      <c r="C5" s="78">
        <f>'Weibull Prensa IV'!J11</f>
        <v>596.08273881005016</v>
      </c>
      <c r="D5" s="78">
        <f>'Weibull Misturador'!J11</f>
        <v>742.53102252643703</v>
      </c>
      <c r="E5" s="78">
        <f>'Weibull Prensa I'!J11</f>
        <v>1503.7977941288816</v>
      </c>
      <c r="F5" s="78">
        <f>'Weibull Embaladora'!J11</f>
        <v>1550.2443057287674</v>
      </c>
      <c r="G5" s="78">
        <f>'Weibull Envasadora'!J11</f>
        <v>727.56099112939989</v>
      </c>
      <c r="H5" s="78">
        <f>'Weibull Líquidos'!J11</f>
        <v>1245.7407358149983</v>
      </c>
    </row>
    <row r="7" spans="1:10" x14ac:dyDescent="0.25">
      <c r="C7" s="83">
        <v>900</v>
      </c>
      <c r="D7" s="83">
        <v>900</v>
      </c>
      <c r="E7" s="83">
        <v>900</v>
      </c>
      <c r="F7" s="83">
        <v>900</v>
      </c>
      <c r="G7" s="83">
        <v>900</v>
      </c>
      <c r="H7" s="83">
        <v>900</v>
      </c>
    </row>
    <row r="8" spans="1:10" x14ac:dyDescent="0.25">
      <c r="C8" s="16">
        <f>WEIBULL(C$7,C$4,C$5,TRUE)</f>
        <v>0.80322677855709612</v>
      </c>
      <c r="D8" s="16">
        <f t="shared" ref="D8:H8" si="0">WEIBULL(D$7,D$4,D$5,TRUE)</f>
        <v>0.70474814920906281</v>
      </c>
      <c r="E8" s="16">
        <f t="shared" si="0"/>
        <v>0.49573890719160041</v>
      </c>
      <c r="F8" s="16">
        <f>WEIBULL(F$7,F$4,F$5,TRUE)</f>
        <v>0.49303614611788404</v>
      </c>
      <c r="G8" s="16">
        <f t="shared" si="0"/>
        <v>0.70327583739842903</v>
      </c>
      <c r="H8" s="16">
        <f t="shared" si="0"/>
        <v>0.55102576282153304</v>
      </c>
    </row>
    <row r="10" spans="1:10" ht="30" x14ac:dyDescent="0.25">
      <c r="A10" s="115"/>
      <c r="B10" s="199" t="s">
        <v>70</v>
      </c>
      <c r="C10" s="199" t="s">
        <v>11</v>
      </c>
      <c r="D10" s="232" t="s">
        <v>12</v>
      </c>
      <c r="E10" s="232" t="s">
        <v>4</v>
      </c>
      <c r="F10" s="232" t="s">
        <v>5</v>
      </c>
      <c r="G10" s="232" t="s">
        <v>6</v>
      </c>
      <c r="H10" s="232" t="s">
        <v>69</v>
      </c>
    </row>
    <row r="11" spans="1:10" x14ac:dyDescent="0.25">
      <c r="A11" s="115"/>
      <c r="B11" s="81">
        <v>60</v>
      </c>
      <c r="C11" s="76">
        <f t="shared" ref="C11:H11" si="1">WEIBULL($B11,C$4,C$5,TRUE)</f>
        <v>6.4496278182099367E-2</v>
      </c>
      <c r="D11" s="76">
        <f t="shared" si="1"/>
        <v>7.1566792870505658E-2</v>
      </c>
      <c r="E11" s="76">
        <f t="shared" si="1"/>
        <v>8.862963423029499E-2</v>
      </c>
      <c r="F11" s="76">
        <f>WEIBULL($B11,F$4,F$5,TRUE)</f>
        <v>9.4284991487999195E-2</v>
      </c>
      <c r="G11" s="76">
        <f t="shared" si="1"/>
        <v>9.683347369378166E-2</v>
      </c>
      <c r="H11" s="76">
        <f t="shared" si="1"/>
        <v>0.11824309637727304</v>
      </c>
      <c r="J11" s="195"/>
    </row>
    <row r="12" spans="1:10" x14ac:dyDescent="0.25">
      <c r="A12" s="115"/>
      <c r="B12" s="81">
        <v>120</v>
      </c>
      <c r="C12" s="77">
        <f>WEIBULL(B12,C$4,C$5,TRUE)</f>
        <v>0.14015122872528213</v>
      </c>
      <c r="D12" s="77">
        <f t="shared" ref="D12:H21" si="2">WEIBULL($B12,D$4,D$5,TRUE)</f>
        <v>0.14102215993439199</v>
      </c>
      <c r="E12" s="77">
        <f t="shared" si="2"/>
        <v>0.14339846235668013</v>
      </c>
      <c r="F12" s="77">
        <f t="shared" si="2"/>
        <v>0.14965798778628686</v>
      </c>
      <c r="G12" s="77">
        <f t="shared" si="2"/>
        <v>0.17477285212312901</v>
      </c>
      <c r="H12" s="77">
        <f t="shared" si="2"/>
        <v>0.18297268644320372</v>
      </c>
      <c r="J12" s="195"/>
    </row>
    <row r="13" spans="1:10" x14ac:dyDescent="0.25">
      <c r="A13" s="115"/>
      <c r="B13" s="81">
        <v>180</v>
      </c>
      <c r="C13" s="77">
        <f>WEIBULL(B13,C$4,C$5,TRUE)</f>
        <v>0.21619111355089879</v>
      </c>
      <c r="D13" s="77">
        <f t="shared" si="2"/>
        <v>0.20637567559136602</v>
      </c>
      <c r="E13" s="77">
        <f t="shared" si="2"/>
        <v>0.18841835571268467</v>
      </c>
      <c r="F13" s="77">
        <f t="shared" si="2"/>
        <v>0.19450122461839475</v>
      </c>
      <c r="G13" s="77">
        <f t="shared" si="2"/>
        <v>0.24302840367488937</v>
      </c>
      <c r="H13" s="77">
        <f t="shared" si="2"/>
        <v>0.23402262808675317</v>
      </c>
      <c r="J13" s="195"/>
    </row>
    <row r="14" spans="1:10" x14ac:dyDescent="0.25">
      <c r="A14" s="115"/>
      <c r="B14" s="81">
        <v>240</v>
      </c>
      <c r="C14" s="77">
        <f t="shared" ref="C14:C50" si="3">WEIBULL(B14,C$4,C$5,TRUE)</f>
        <v>0.28964572544987222</v>
      </c>
      <c r="D14" s="77">
        <f t="shared" si="2"/>
        <v>0.26742246595200125</v>
      </c>
      <c r="E14" s="77">
        <f t="shared" si="2"/>
        <v>0.22751856761508465</v>
      </c>
      <c r="F14" s="77">
        <f t="shared" si="2"/>
        <v>0.23309381896746473</v>
      </c>
      <c r="G14" s="77">
        <f t="shared" si="2"/>
        <v>0.30393642540323912</v>
      </c>
      <c r="H14" s="77">
        <f t="shared" si="2"/>
        <v>0.27712693127762528</v>
      </c>
      <c r="J14" s="195"/>
    </row>
    <row r="15" spans="1:10" x14ac:dyDescent="0.25">
      <c r="A15" s="115"/>
      <c r="B15" s="81">
        <v>300</v>
      </c>
      <c r="C15" s="77">
        <f t="shared" si="3"/>
        <v>0.35914499844103526</v>
      </c>
      <c r="D15" s="77">
        <f t="shared" si="2"/>
        <v>0.32423454960292136</v>
      </c>
      <c r="E15" s="77">
        <f t="shared" si="2"/>
        <v>0.26240215722547333</v>
      </c>
      <c r="F15" s="77">
        <f t="shared" si="2"/>
        <v>0.26730546116984066</v>
      </c>
      <c r="G15" s="77">
        <f t="shared" si="2"/>
        <v>0.35880670758576633</v>
      </c>
      <c r="H15" s="77">
        <f t="shared" si="2"/>
        <v>0.3147558421858867</v>
      </c>
      <c r="J15" s="195"/>
    </row>
    <row r="16" spans="1:10" x14ac:dyDescent="0.25">
      <c r="B16" s="81">
        <v>360</v>
      </c>
      <c r="C16" s="77">
        <f t="shared" si="3"/>
        <v>0.42402904889341253</v>
      </c>
      <c r="D16" s="77">
        <f t="shared" si="2"/>
        <v>0.37698216924204475</v>
      </c>
      <c r="E16" s="77">
        <f t="shared" si="2"/>
        <v>0.29403434432308401</v>
      </c>
      <c r="F16" s="77">
        <f>WEIBULL($B16,F$4,F$5,TRUE)</f>
        <v>0.29818148617917634</v>
      </c>
      <c r="G16" s="77">
        <f t="shared" si="2"/>
        <v>0.40853173564384748</v>
      </c>
      <c r="H16" s="77">
        <f t="shared" si="2"/>
        <v>0.34827537478191128</v>
      </c>
      <c r="J16" s="195"/>
    </row>
    <row r="17" spans="2:10" x14ac:dyDescent="0.25">
      <c r="B17" s="81">
        <v>420</v>
      </c>
      <c r="C17" s="77">
        <f t="shared" si="3"/>
        <v>0.48402573495332507</v>
      </c>
      <c r="D17" s="77">
        <f t="shared" si="2"/>
        <v>0.42587574014634932</v>
      </c>
      <c r="E17" s="77">
        <f t="shared" si="2"/>
        <v>0.32303654404552229</v>
      </c>
      <c r="F17" s="77">
        <f t="shared" si="2"/>
        <v>0.32638722608111209</v>
      </c>
      <c r="G17" s="77">
        <f t="shared" si="2"/>
        <v>0.45378063931083784</v>
      </c>
      <c r="H17" s="77">
        <f t="shared" si="2"/>
        <v>0.37854673423437524</v>
      </c>
      <c r="J17" s="195"/>
    </row>
    <row r="18" spans="2:10" x14ac:dyDescent="0.25">
      <c r="B18" s="81">
        <v>480</v>
      </c>
      <c r="C18" s="77">
        <f t="shared" si="3"/>
        <v>0.53909517901958337</v>
      </c>
      <c r="D18" s="77">
        <f t="shared" si="2"/>
        <v>0.4711408696608031</v>
      </c>
      <c r="E18" s="77">
        <f t="shared" si="2"/>
        <v>0.34984212381395624</v>
      </c>
      <c r="F18" s="77">
        <f t="shared" si="2"/>
        <v>0.35238204976674053</v>
      </c>
      <c r="G18" s="77">
        <f t="shared" si="2"/>
        <v>0.49508371172782017</v>
      </c>
      <c r="H18" s="77">
        <f t="shared" si="2"/>
        <v>0.40615942013965423</v>
      </c>
      <c r="J18" s="195"/>
    </row>
    <row r="19" spans="2:10" x14ac:dyDescent="0.25">
      <c r="B19" s="81">
        <v>540</v>
      </c>
      <c r="C19" s="77">
        <f t="shared" si="3"/>
        <v>0.58934226010231017</v>
      </c>
      <c r="D19" s="77">
        <f t="shared" si="2"/>
        <v>0.51300594907423747</v>
      </c>
      <c r="E19" s="77">
        <f t="shared" si="2"/>
        <v>0.37477041919842968</v>
      </c>
      <c r="F19" s="77">
        <f t="shared" si="2"/>
        <v>0.37650143355908694</v>
      </c>
      <c r="G19" s="77">
        <f t="shared" si="2"/>
        <v>0.53287639181206159</v>
      </c>
      <c r="H19" s="77">
        <f t="shared" si="2"/>
        <v>0.43154050565620694</v>
      </c>
      <c r="J19" s="195"/>
    </row>
    <row r="20" spans="2:10" x14ac:dyDescent="0.25">
      <c r="B20" s="81">
        <v>600</v>
      </c>
      <c r="C20" s="77">
        <f t="shared" si="3"/>
        <v>0.63496255753859909</v>
      </c>
      <c r="D20" s="77">
        <f t="shared" si="2"/>
        <v>0.55169549343906743</v>
      </c>
      <c r="E20" s="77">
        <f t="shared" si="2"/>
        <v>0.39806641254405406</v>
      </c>
      <c r="F20" s="77">
        <f t="shared" si="2"/>
        <v>0.39900066121956007</v>
      </c>
      <c r="G20" s="77">
        <f t="shared" si="2"/>
        <v>0.56752499744100038</v>
      </c>
      <c r="H20" s="77">
        <f t="shared" si="2"/>
        <v>0.45501252797864578</v>
      </c>
      <c r="J20" s="195"/>
    </row>
    <row r="21" spans="2:10" x14ac:dyDescent="0.25">
      <c r="B21" s="81">
        <v>660</v>
      </c>
      <c r="C21" s="77">
        <f t="shared" si="3"/>
        <v>0.67620697437958466</v>
      </c>
      <c r="D21" s="77">
        <f t="shared" si="2"/>
        <v>0.58742644268655353</v>
      </c>
      <c r="E21" s="77">
        <f t="shared" si="2"/>
        <v>0.41992391389889072</v>
      </c>
      <c r="F21" s="77">
        <f t="shared" si="2"/>
        <v>0.42008019817659292</v>
      </c>
      <c r="G21" s="77">
        <f t="shared" si="2"/>
        <v>0.59934309747996728</v>
      </c>
      <c r="H21" s="77">
        <f t="shared" si="2"/>
        <v>0.47682694709528556</v>
      </c>
      <c r="J21" s="195"/>
    </row>
    <row r="22" spans="2:10" x14ac:dyDescent="0.25">
      <c r="B22" s="81">
        <v>720</v>
      </c>
      <c r="C22" s="77">
        <f t="shared" si="3"/>
        <v>0.71335775831919079</v>
      </c>
      <c r="D22" s="77">
        <f t="shared" ref="D22:H31" si="4">WEIBULL($B22,D$4,D$5,TRUE)</f>
        <v>0.62040611867572837</v>
      </c>
      <c r="E22" s="77">
        <f t="shared" si="4"/>
        <v>0.44050000970792219</v>
      </c>
      <c r="F22" s="77">
        <f t="shared" si="4"/>
        <v>0.43990141800391519</v>
      </c>
      <c r="G22" s="77">
        <f t="shared" si="4"/>
        <v>0.62860260431062587</v>
      </c>
      <c r="H22" s="77">
        <f t="shared" si="4"/>
        <v>0.49718479443672703</v>
      </c>
      <c r="J22" s="195"/>
    </row>
    <row r="23" spans="2:10" x14ac:dyDescent="0.25">
      <c r="B23" s="81">
        <v>780</v>
      </c>
      <c r="C23" s="77">
        <f t="shared" si="3"/>
        <v>0.7467119319783917</v>
      </c>
      <c r="D23" s="77">
        <f t="shared" si="4"/>
        <v>0.65083116280504405</v>
      </c>
      <c r="E23" s="77">
        <f t="shared" si="4"/>
        <v>0.45992453676448208</v>
      </c>
      <c r="F23" s="77">
        <f t="shared" si="4"/>
        <v>0.45859685972946596</v>
      </c>
      <c r="G23" s="77">
        <f t="shared" si="4"/>
        <v>0.65554166498504041</v>
      </c>
      <c r="H23" s="77">
        <f t="shared" si="4"/>
        <v>0.51625008658568861</v>
      </c>
      <c r="J23" s="195"/>
    </row>
    <row r="24" spans="2:10" x14ac:dyDescent="0.25">
      <c r="B24" s="81">
        <v>840</v>
      </c>
      <c r="C24" s="77">
        <f t="shared" si="3"/>
        <v>0.77656976360552088</v>
      </c>
      <c r="D24" s="77">
        <f t="shared" si="4"/>
        <v>0.67888707753489785</v>
      </c>
      <c r="E24" s="77">
        <f t="shared" si="4"/>
        <v>0.47830655287365981</v>
      </c>
      <c r="F24" s="77">
        <f t="shared" si="4"/>
        <v>0.47627719857070261</v>
      </c>
      <c r="G24" s="77">
        <f t="shared" si="4"/>
        <v>0.68037049644576486</v>
      </c>
      <c r="H24" s="77">
        <f t="shared" si="4"/>
        <v>0.53415890630443852</v>
      </c>
      <c r="J24" s="195"/>
    </row>
    <row r="25" spans="2:10" x14ac:dyDescent="0.25">
      <c r="B25" s="81">
        <v>900</v>
      </c>
      <c r="C25" s="77">
        <f t="shared" si="3"/>
        <v>0.80322677855709612</v>
      </c>
      <c r="D25" s="77">
        <f t="shared" si="4"/>
        <v>0.70474814920906281</v>
      </c>
      <c r="E25" s="77">
        <f t="shared" si="4"/>
        <v>0.49573890719160041</v>
      </c>
      <c r="F25" s="77">
        <f t="shared" si="4"/>
        <v>0.49303614611788404</v>
      </c>
      <c r="G25" s="77">
        <f t="shared" si="4"/>
        <v>0.70327583739842903</v>
      </c>
      <c r="H25" s="77">
        <f t="shared" si="4"/>
        <v>0.55102576282153304</v>
      </c>
      <c r="J25" s="195"/>
    </row>
    <row r="26" spans="2:10" x14ac:dyDescent="0.25">
      <c r="B26" s="81">
        <v>960</v>
      </c>
      <c r="C26" s="77">
        <f t="shared" si="3"/>
        <v>0.82696831348687272</v>
      </c>
      <c r="D26" s="77">
        <f t="shared" si="4"/>
        <v>0.72857761448566349</v>
      </c>
      <c r="E26" s="77">
        <f t="shared" si="4"/>
        <v>0.51230156044888209</v>
      </c>
      <c r="F26" s="77">
        <f t="shared" si="4"/>
        <v>0.50895399402723474</v>
      </c>
      <c r="G26" s="77">
        <f t="shared" si="4"/>
        <v>0.72442443275946988</v>
      </c>
      <c r="H26" s="77">
        <f t="shared" si="4"/>
        <v>0.5669481751717782</v>
      </c>
      <c r="J26" s="195"/>
    </row>
    <row r="27" spans="2:10" x14ac:dyDescent="0.25">
      <c r="B27" s="81">
        <v>1020</v>
      </c>
      <c r="C27" s="77">
        <f t="shared" si="3"/>
        <v>0.84806592246604562</v>
      </c>
      <c r="D27" s="77">
        <f t="shared" si="4"/>
        <v>0.75052798212284555</v>
      </c>
      <c r="E27" s="77">
        <f t="shared" si="4"/>
        <v>0.52806405540629653</v>
      </c>
      <c r="F27" s="77">
        <f t="shared" si="4"/>
        <v>0.52410023926540639</v>
      </c>
      <c r="G27" s="77">
        <f t="shared" si="4"/>
        <v>0.74396581925271432</v>
      </c>
      <c r="H27" s="77">
        <f t="shared" si="4"/>
        <v>0.58201005596685473</v>
      </c>
      <c r="J27" s="195"/>
    </row>
    <row r="28" spans="2:10" x14ac:dyDescent="0.25">
      <c r="B28" s="81">
        <v>1080</v>
      </c>
      <c r="C28" s="77">
        <f t="shared" si="3"/>
        <v>0.86677514226024044</v>
      </c>
      <c r="D28" s="77">
        <f t="shared" si="4"/>
        <v>0.77074145196247834</v>
      </c>
      <c r="E28" s="77">
        <f t="shared" si="4"/>
        <v>0.54308739328612188</v>
      </c>
      <c r="F28" s="77">
        <f t="shared" si="4"/>
        <v>0.53853556974223737</v>
      </c>
      <c r="G28" s="77">
        <f t="shared" si="4"/>
        <v>0.76203459206781465</v>
      </c>
      <c r="H28" s="77">
        <f t="shared" si="4"/>
        <v>0.59628426216536257</v>
      </c>
      <c r="J28" s="195"/>
    </row>
    <row r="29" spans="2:10" x14ac:dyDescent="0.25">
      <c r="B29" s="81">
        <v>1140</v>
      </c>
      <c r="C29" s="77">
        <f t="shared" si="3"/>
        <v>0.88333425707430724</v>
      </c>
      <c r="D29" s="77">
        <f t="shared" si="4"/>
        <v>0.78935039197938228</v>
      </c>
      <c r="E29" s="77">
        <f t="shared" si="4"/>
        <v>0.55742548478479814</v>
      </c>
      <c r="F29" s="77">
        <f t="shared" si="4"/>
        <v>0.55231339354344566</v>
      </c>
      <c r="G29" s="77">
        <f t="shared" si="4"/>
        <v>0.77875227696786209</v>
      </c>
      <c r="H29" s="77">
        <f t="shared" si="4"/>
        <v>0.60983455309358026</v>
      </c>
      <c r="J29" s="195"/>
    </row>
    <row r="30" spans="2:10" x14ac:dyDescent="0.25">
      <c r="B30" s="81">
        <v>1200</v>
      </c>
      <c r="C30" s="77">
        <f t="shared" si="3"/>
        <v>0.89796379572704121</v>
      </c>
      <c r="D30" s="77">
        <f t="shared" si="4"/>
        <v>0.80647784667094458</v>
      </c>
      <c r="E30" s="77">
        <f t="shared" si="4"/>
        <v>0.57112628990972747</v>
      </c>
      <c r="F30" s="77">
        <f t="shared" si="4"/>
        <v>0.5654810354998735</v>
      </c>
      <c r="G30" s="77">
        <f t="shared" si="4"/>
        <v>0.79422889623708715</v>
      </c>
      <c r="H30" s="77">
        <f t="shared" si="4"/>
        <v>0.6227171175838746</v>
      </c>
      <c r="J30" s="195"/>
    </row>
    <row r="31" spans="2:10" x14ac:dyDescent="0.25">
      <c r="B31" s="81">
        <v>1260</v>
      </c>
      <c r="C31" s="77">
        <f t="shared" si="3"/>
        <v>0.91086656061067095</v>
      </c>
      <c r="D31" s="77">
        <f t="shared" si="4"/>
        <v>0.82223805836913155</v>
      </c>
      <c r="E31" s="77">
        <f t="shared" si="4"/>
        <v>0.58423272592646081</v>
      </c>
      <c r="F31" s="77">
        <f t="shared" si="4"/>
        <v>0.57808068669960977</v>
      </c>
      <c r="G31" s="77">
        <f t="shared" si="4"/>
        <v>0.80856429280922271</v>
      </c>
      <c r="H31" s="77">
        <f t="shared" si="4"/>
        <v>0.63498178195474786</v>
      </c>
      <c r="J31" s="195"/>
    </row>
    <row r="32" spans="2:10" x14ac:dyDescent="0.25">
      <c r="B32" s="81">
        <v>1320</v>
      </c>
      <c r="C32" s="77">
        <f t="shared" si="3"/>
        <v>0.92222803649324181</v>
      </c>
      <c r="D32" s="77">
        <f t="shared" ref="D32:H41" si="5">WEIBULL($B32,D$4,D$5,TRUE)</f>
        <v>0.83673698874182956</v>
      </c>
      <c r="E32" s="77">
        <f t="shared" si="5"/>
        <v>0.59678339962043947</v>
      </c>
      <c r="F32" s="77">
        <f t="shared" si="5"/>
        <v>0.59015016744331106</v>
      </c>
      <c r="G32" s="77">
        <f t="shared" si="5"/>
        <v>0.82184926041560091</v>
      </c>
      <c r="H32" s="77">
        <f t="shared" si="5"/>
        <v>0.64667297761099407</v>
      </c>
      <c r="J32" s="195"/>
    </row>
    <row r="33" spans="2:10" x14ac:dyDescent="0.25">
      <c r="B33" s="81">
        <v>1380</v>
      </c>
      <c r="C33" s="77">
        <f t="shared" si="3"/>
        <v>0.93221706362093193</v>
      </c>
      <c r="D33" s="77">
        <f t="shared" si="5"/>
        <v>0.85007283171170323</v>
      </c>
      <c r="E33" s="77">
        <f t="shared" si="5"/>
        <v>0.60881320447363185</v>
      </c>
      <c r="F33" s="77">
        <f t="shared" si="5"/>
        <v>0.60172354721784205</v>
      </c>
      <c r="G33" s="77">
        <f t="shared" si="5"/>
        <v>0.83416651599956815</v>
      </c>
      <c r="H33" s="77">
        <f t="shared" si="5"/>
        <v>0.65783052487776505</v>
      </c>
      <c r="J33" s="195"/>
    </row>
    <row r="34" spans="2:10" x14ac:dyDescent="0.25">
      <c r="B34" s="81">
        <v>1440</v>
      </c>
      <c r="C34" s="77">
        <f t="shared" si="3"/>
        <v>0.94098668717768841</v>
      </c>
      <c r="D34" s="77">
        <f t="shared" si="5"/>
        <v>0.86233651182156834</v>
      </c>
      <c r="E34" s="77">
        <f t="shared" si="5"/>
        <v>0.62035381258446298</v>
      </c>
      <c r="F34" s="77">
        <f t="shared" si="5"/>
        <v>0.61283165361045966</v>
      </c>
      <c r="G34" s="77">
        <f t="shared" si="5"/>
        <v>0.84559154232624456</v>
      </c>
      <c r="H34" s="77">
        <f t="shared" si="5"/>
        <v>0.66849027445250875</v>
      </c>
      <c r="J34" s="195"/>
    </row>
    <row r="35" spans="2:10" x14ac:dyDescent="0.25">
      <c r="B35" s="81">
        <v>1500</v>
      </c>
      <c r="C35" s="77">
        <f t="shared" si="3"/>
        <v>0.94867511631834223</v>
      </c>
      <c r="D35" s="77">
        <f t="shared" si="5"/>
        <v>0.87361216407827924</v>
      </c>
      <c r="E35" s="77">
        <f t="shared" si="5"/>
        <v>0.63143408358179065</v>
      </c>
      <c r="F35" s="77">
        <f t="shared" si="5"/>
        <v>0.62350249390972501</v>
      </c>
      <c r="G35" s="77">
        <f t="shared" si="5"/>
        <v>0.85619332263444847</v>
      </c>
      <c r="H35" s="77">
        <f t="shared" si="5"/>
        <v>0.67868463719372718</v>
      </c>
      <c r="J35" s="195"/>
    </row>
    <row r="36" spans="2:10" x14ac:dyDescent="0.25">
      <c r="B36" s="81">
        <v>1560</v>
      </c>
      <c r="C36" s="77">
        <f t="shared" si="3"/>
        <v>0.95540674234000222</v>
      </c>
      <c r="D36" s="77">
        <f t="shared" si="5"/>
        <v>0.88397759275161736</v>
      </c>
      <c r="E36" s="77">
        <f t="shared" si="5"/>
        <v>0.64208040736170047</v>
      </c>
      <c r="F36" s="77">
        <f t="shared" si="5"/>
        <v>0.63376160730397635</v>
      </c>
      <c r="G36" s="77">
        <f t="shared" si="5"/>
        <v>0.86603498465302087</v>
      </c>
      <c r="H36" s="77">
        <f t="shared" si="5"/>
        <v>0.68844302536817614</v>
      </c>
      <c r="J36" s="195"/>
    </row>
    <row r="37" spans="2:10" x14ac:dyDescent="0.25">
      <c r="B37" s="81">
        <v>1620</v>
      </c>
      <c r="C37" s="77">
        <f t="shared" si="3"/>
        <v>0.96129317825428418</v>
      </c>
      <c r="D37" s="77">
        <f t="shared" si="5"/>
        <v>0.89350470765188061</v>
      </c>
      <c r="E37" s="77">
        <f t="shared" si="5"/>
        <v>0.6523169935360057</v>
      </c>
      <c r="F37" s="77">
        <f t="shared" si="5"/>
        <v>0.64363236135841406</v>
      </c>
      <c r="G37" s="77">
        <f t="shared" si="5"/>
        <v>0.87517436788506953</v>
      </c>
      <c r="H37" s="77">
        <f t="shared" si="5"/>
        <v>0.69779222298138088</v>
      </c>
      <c r="J37" s="195"/>
    </row>
    <row r="38" spans="2:10" x14ac:dyDescent="0.25">
      <c r="B38" s="81">
        <v>1680</v>
      </c>
      <c r="C38" s="77">
        <f t="shared" si="3"/>
        <v>0.96643429191292873</v>
      </c>
      <c r="D38" s="77">
        <f t="shared" si="5"/>
        <v>0.90225993717068986</v>
      </c>
      <c r="E38" s="77">
        <f t="shared" si="5"/>
        <v>0.6621661175778415</v>
      </c>
      <c r="F38" s="77">
        <f t="shared" si="5"/>
        <v>0.65313620334224542</v>
      </c>
      <c r="G38" s="77">
        <f t="shared" si="5"/>
        <v>0.88366452544358287</v>
      </c>
      <c r="H38" s="77">
        <f t="shared" si="5"/>
        <v>0.70675669878266456</v>
      </c>
      <c r="J38" s="195"/>
    </row>
    <row r="39" spans="2:10" x14ac:dyDescent="0.25">
      <c r="B39" s="81">
        <v>1740</v>
      </c>
      <c r="C39" s="77">
        <f t="shared" si="3"/>
        <v>0.97091921254744573</v>
      </c>
      <c r="D39" s="77">
        <f t="shared" si="5"/>
        <v>0.91030461792143713</v>
      </c>
      <c r="E39" s="77">
        <f t="shared" si="5"/>
        <v>0.6716483314822872</v>
      </c>
      <c r="F39" s="77">
        <f t="shared" si="5"/>
        <v>0.6622928746614849</v>
      </c>
      <c r="G39" s="77">
        <f t="shared" si="5"/>
        <v>0.89155416968765167</v>
      </c>
      <c r="H39" s="77">
        <f t="shared" si="5"/>
        <v>0.71535887253721542</v>
      </c>
      <c r="J39" s="195"/>
    </row>
    <row r="40" spans="2:10" x14ac:dyDescent="0.25">
      <c r="B40" s="81">
        <v>1800</v>
      </c>
      <c r="C40" s="77">
        <f t="shared" si="3"/>
        <v>0.97482729658244216</v>
      </c>
      <c r="D40" s="77">
        <f t="shared" si="5"/>
        <v>0.91769536121387962</v>
      </c>
      <c r="E40" s="77">
        <f t="shared" si="5"/>
        <v>0.68078264512265241</v>
      </c>
      <c r="F40" s="77">
        <f t="shared" si="5"/>
        <v>0.67112059490768394</v>
      </c>
      <c r="G40" s="77">
        <f t="shared" si="5"/>
        <v>0.89888806931028409</v>
      </c>
      <c r="H40" s="77">
        <f t="shared" si="5"/>
        <v>0.72361934290176833</v>
      </c>
      <c r="J40" s="195"/>
    </row>
    <row r="41" spans="2:10" x14ac:dyDescent="0.25">
      <c r="B41" s="81">
        <v>1860</v>
      </c>
      <c r="C41" s="77">
        <f t="shared" si="3"/>
        <v>0.97822904323482496</v>
      </c>
      <c r="D41" s="77">
        <f t="shared" si="5"/>
        <v>0.92448439688128503</v>
      </c>
      <c r="E41" s="77">
        <f t="shared" si="5"/>
        <v>0.68958668323268757</v>
      </c>
      <c r="F41" s="77">
        <f t="shared" si="5"/>
        <v>0.67963622070299246</v>
      </c>
      <c r="G41" s="77">
        <f t="shared" si="5"/>
        <v>0.9057074042592822</v>
      </c>
      <c r="H41" s="77">
        <f t="shared" si="5"/>
        <v>0.73155708352452153</v>
      </c>
      <c r="J41" s="195"/>
    </row>
    <row r="42" spans="2:10" x14ac:dyDescent="0.25">
      <c r="B42" s="81">
        <v>1920</v>
      </c>
      <c r="C42" s="77">
        <f t="shared" si="3"/>
        <v>0.98118695399870515</v>
      </c>
      <c r="D42" s="77">
        <f t="shared" ref="D42:H57" si="6">WEIBULL($B42,D$4,D$5,TRUE)</f>
        <v>0.93071989517717713</v>
      </c>
      <c r="E42" s="77">
        <f t="shared" si="6"/>
        <v>0.69807682198037724</v>
      </c>
      <c r="F42" s="77">
        <f t="shared" si="6"/>
        <v>0.68785538349832764</v>
      </c>
      <c r="G42" s="77">
        <f t="shared" si="6"/>
        <v>0.91205008385405895</v>
      </c>
      <c r="H42" s="77">
        <f t="shared" si="6"/>
        <v>0.73918961267136463</v>
      </c>
      <c r="J42" s="195"/>
    </row>
    <row r="43" spans="2:10" x14ac:dyDescent="0.25">
      <c r="B43" s="81">
        <v>1980</v>
      </c>
      <c r="C43" s="77">
        <f t="shared" si="3"/>
        <v>0.98375633285939701</v>
      </c>
      <c r="D43" s="77">
        <f t="shared" si="6"/>
        <v>0.9364462675934575</v>
      </c>
      <c r="E43" s="77">
        <f t="shared" si="6"/>
        <v>0.70626830834783694</v>
      </c>
      <c r="F43" s="77">
        <f t="shared" si="6"/>
        <v>0.69579260968606671</v>
      </c>
      <c r="G43" s="77">
        <f t="shared" si="6"/>
        <v>0.91795103263640199</v>
      </c>
      <c r="H43" s="77">
        <f t="shared" si="6"/>
        <v>0.7465331406577147</v>
      </c>
      <c r="J43" s="195"/>
    </row>
    <row r="44" spans="2:10" x14ac:dyDescent="0.25">
      <c r="B44" s="81">
        <v>2040</v>
      </c>
      <c r="C44" s="77">
        <f t="shared" si="3"/>
        <v>0.9859860261540847</v>
      </c>
      <c r="D44" s="77">
        <f t="shared" si="6"/>
        <v>0.94170444753835769</v>
      </c>
      <c r="E44" s="77">
        <f t="shared" si="6"/>
        <v>0.71417536494177947</v>
      </c>
      <c r="F44" s="77">
        <f t="shared" si="6"/>
        <v>0.70346142576522697</v>
      </c>
      <c r="G44" s="77">
        <f t="shared" si="6"/>
        <v>0.92344244781944496</v>
      </c>
      <c r="H44" s="77">
        <f t="shared" si="6"/>
        <v>0.7536026985648927</v>
      </c>
      <c r="J44" s="195"/>
    </row>
    <row r="45" spans="2:10" x14ac:dyDescent="0.25">
      <c r="B45" s="81">
        <v>2100</v>
      </c>
      <c r="C45" s="77">
        <f t="shared" si="3"/>
        <v>0.98791910254047921</v>
      </c>
      <c r="D45" s="77">
        <f t="shared" si="6"/>
        <v>0.94653215186324169</v>
      </c>
      <c r="E45" s="77">
        <f t="shared" si="6"/>
        <v>0.72181128239173209</v>
      </c>
      <c r="F45" s="77">
        <f t="shared" si="6"/>
        <v>0.71087445080442069</v>
      </c>
      <c r="G45" s="77">
        <f t="shared" si="6"/>
        <v>0.92855403164442607</v>
      </c>
      <c r="H45" s="77">
        <f t="shared" si="6"/>
        <v>0.76041225108853339</v>
      </c>
      <c r="J45" s="195"/>
    </row>
    <row r="46" spans="2:10" x14ac:dyDescent="0.25">
      <c r="B46" s="81">
        <v>2160</v>
      </c>
      <c r="C46" s="77">
        <f t="shared" si="3"/>
        <v>0.98959347465922631</v>
      </c>
      <c r="D46" s="77">
        <f t="shared" si="6"/>
        <v>0.95096412425075127</v>
      </c>
      <c r="E46" s="77">
        <f t="shared" si="6"/>
        <v>0.72918850112028655</v>
      </c>
      <c r="F46" s="77">
        <f t="shared" si="6"/>
        <v>0.7180434780555156</v>
      </c>
      <c r="G46" s="77">
        <f t="shared" si="6"/>
        <v>0.93331320149479158</v>
      </c>
      <c r="H46" s="77">
        <f t="shared" si="6"/>
        <v>0.76697479586449191</v>
      </c>
      <c r="J46" s="195"/>
    </row>
    <row r="47" spans="2:10" x14ac:dyDescent="0.25">
      <c r="B47" s="81">
        <v>2220</v>
      </c>
      <c r="C47" s="77">
        <f t="shared" si="3"/>
        <v>0.99104246487003078</v>
      </c>
      <c r="D47" s="77">
        <f t="shared" si="6"/>
        <v>0.95503236148003012</v>
      </c>
      <c r="E47" s="77">
        <f t="shared" si="6"/>
        <v>0.7363186839699617</v>
      </c>
      <c r="F47" s="77">
        <f t="shared" si="6"/>
        <v>0.72497954725625569</v>
      </c>
      <c r="G47" s="77">
        <f t="shared" si="6"/>
        <v>0.93774528023308046</v>
      </c>
      <c r="H47" s="77">
        <f t="shared" si="6"/>
        <v>0.77330245121572816</v>
      </c>
      <c r="J47" s="195"/>
    </row>
    <row r="48" spans="2:10" x14ac:dyDescent="0.25">
      <c r="B48" s="81">
        <v>2280</v>
      </c>
      <c r="C48" s="77">
        <f t="shared" si="3"/>
        <v>0.99229531797702053</v>
      </c>
      <c r="D48" s="77">
        <f t="shared" si="6"/>
        <v>0.95876632357303471</v>
      </c>
      <c r="E48" s="77">
        <f t="shared" si="6"/>
        <v>0.74321278092876708</v>
      </c>
      <c r="F48" s="77">
        <f t="shared" si="6"/>
        <v>0.73169300890599676</v>
      </c>
      <c r="G48" s="77">
        <f t="shared" si="6"/>
        <v>0.94187366890325142</v>
      </c>
      <c r="H48" s="77">
        <f t="shared" si="6"/>
        <v>0.77940653393957215</v>
      </c>
      <c r="J48" s="195"/>
    </row>
    <row r="49" spans="2:10" x14ac:dyDescent="0.25">
      <c r="B49" s="81">
        <v>2340</v>
      </c>
      <c r="C49" s="77">
        <f t="shared" si="3"/>
        <v>0.99337766419329787</v>
      </c>
      <c r="D49" s="77">
        <f t="shared" si="6"/>
        <v>0.96219312880326791</v>
      </c>
      <c r="E49" s="77">
        <f t="shared" si="6"/>
        <v>0.74988108699911438</v>
      </c>
      <c r="F49" s="77">
        <f t="shared" si="6"/>
        <v>0.73819358159223136</v>
      </c>
      <c r="G49" s="77">
        <f t="shared" si="6"/>
        <v>0.94572000366829867</v>
      </c>
      <c r="H49" s="77">
        <f t="shared" si="6"/>
        <v>0.78529762849186635</v>
      </c>
      <c r="J49" s="195"/>
    </row>
    <row r="50" spans="2:10" x14ac:dyDescent="0.25">
      <c r="B50" s="81">
        <v>2400</v>
      </c>
      <c r="C50" s="77">
        <f t="shared" si="3"/>
        <v>0.99431193577414823</v>
      </c>
      <c r="D50" s="77">
        <f t="shared" si="6"/>
        <v>0.96533773451776161</v>
      </c>
      <c r="E50" s="77">
        <f t="shared" si="6"/>
        <v>0.75633329409300487</v>
      </c>
      <c r="F50" s="77">
        <f t="shared" si="6"/>
        <v>0.7444904032767955</v>
      </c>
      <c r="G50" s="77">
        <f t="shared" si="6"/>
        <v>0.94930429862113552</v>
      </c>
      <c r="H50" s="77">
        <f t="shared" si="6"/>
        <v>0.79098564870990284</v>
      </c>
      <c r="J50" s="195"/>
    </row>
    <row r="51" spans="2:10" x14ac:dyDescent="0.25">
      <c r="B51" s="81">
        <v>2460</v>
      </c>
      <c r="C51" s="77">
        <f t="shared" ref="C51:C58" si="7">WEIBULL(B51,C$4,C$5,TRUE)</f>
        <v>0.99511774081006799</v>
      </c>
      <c r="D51" s="77">
        <f t="shared" si="6"/>
        <v>0.96822310468718242</v>
      </c>
      <c r="E51" s="77">
        <f t="shared" si="6"/>
        <v>0.76257853770321926</v>
      </c>
      <c r="F51" s="77">
        <f t="shared" si="6"/>
        <v>0.75059207731189614</v>
      </c>
      <c r="G51" s="77">
        <f t="shared" si="6"/>
        <v>0.95264507590868686</v>
      </c>
      <c r="H51" s="77">
        <f t="shared" si="6"/>
        <v>0.79647989303995803</v>
      </c>
      <c r="J51" s="195"/>
    </row>
    <row r="52" spans="2:10" x14ac:dyDescent="0.25">
      <c r="B52" s="81">
        <v>2520</v>
      </c>
      <c r="C52" s="77">
        <f t="shared" si="7"/>
        <v>0.9958121976442782</v>
      </c>
      <c r="D52" s="77">
        <f t="shared" si="6"/>
        <v>0.97087036505937929</v>
      </c>
      <c r="E52" s="77">
        <f t="shared" si="6"/>
        <v>0.76862543898993563</v>
      </c>
      <c r="F52" s="77">
        <f t="shared" si="6"/>
        <v>0.7565067138414211</v>
      </c>
      <c r="G52" s="77">
        <f t="shared" si="6"/>
        <v>0.95575948443914782</v>
      </c>
      <c r="H52" s="77">
        <f t="shared" si="6"/>
        <v>0.80178909408990806</v>
      </c>
      <c r="J52" s="195"/>
    </row>
    <row r="53" spans="2:10" x14ac:dyDescent="0.25">
      <c r="B53" s="81">
        <v>2580</v>
      </c>
      <c r="C53" s="77">
        <f t="shared" si="7"/>
        <v>0.99641023328836409</v>
      </c>
      <c r="D53" s="77">
        <f t="shared" si="6"/>
        <v>0.97329894674995809</v>
      </c>
      <c r="E53" s="77">
        <f t="shared" si="6"/>
        <v>0.77448214283041228</v>
      </c>
      <c r="F53" s="77">
        <f t="shared" si="6"/>
        <v>0.76224196714774717</v>
      </c>
      <c r="G53" s="77">
        <f t="shared" si="6"/>
        <v>0.95866340829585561</v>
      </c>
      <c r="H53" s="77">
        <f t="shared" si="6"/>
        <v>0.80692146320688973</v>
      </c>
      <c r="J53" s="195"/>
    </row>
    <row r="54" spans="2:10" x14ac:dyDescent="0.25">
      <c r="B54" s="81">
        <v>2640</v>
      </c>
      <c r="C54" s="77">
        <f t="shared" si="7"/>
        <v>0.99692484907283596</v>
      </c>
      <c r="D54" s="77">
        <f t="shared" si="6"/>
        <v>0.97552671906064148</v>
      </c>
      <c r="E54" s="77">
        <f t="shared" si="6"/>
        <v>0.78015635230261593</v>
      </c>
      <c r="F54" s="77">
        <f t="shared" si="6"/>
        <v>0.76780506942476334</v>
      </c>
      <c r="G54" s="77">
        <f t="shared" si="6"/>
        <v>0.96137156585439154</v>
      </c>
      <c r="H54" s="77">
        <f t="shared" si="6"/>
        <v>0.81188473067954192</v>
      </c>
      <c r="J54" s="195"/>
    </row>
    <row r="55" spans="2:10" x14ac:dyDescent="0.25">
      <c r="B55" s="81">
        <v>2700</v>
      </c>
      <c r="C55" s="77">
        <f t="shared" si="7"/>
        <v>0.99736735660153253</v>
      </c>
      <c r="D55" s="77">
        <f t="shared" si="6"/>
        <v>0.97757011227308166</v>
      </c>
      <c r="E55" s="77">
        <f t="shared" si="6"/>
        <v>0.78565536000920488</v>
      </c>
      <c r="F55" s="77">
        <f t="shared" si="6"/>
        <v>0.77320286139116978</v>
      </c>
      <c r="G55" s="77">
        <f t="shared" si="6"/>
        <v>0.96389760048933137</v>
      </c>
      <c r="H55" s="77">
        <f t="shared" si="6"/>
        <v>0.81668618208029775</v>
      </c>
      <c r="J55" s="195"/>
    </row>
    <row r="56" spans="2:10" x14ac:dyDescent="0.25">
      <c r="B56" s="81">
        <v>2760</v>
      </c>
      <c r="C56" s="77">
        <f t="shared" si="7"/>
        <v>0.99774758689140719</v>
      </c>
      <c r="D56" s="77">
        <f t="shared" si="6"/>
        <v>0.97944423112307366</v>
      </c>
      <c r="E56" s="77">
        <f t="shared" si="6"/>
        <v>0.79098607659388787</v>
      </c>
      <c r="F56" s="77">
        <f t="shared" si="6"/>
        <v>0.77844182010199736</v>
      </c>
      <c r="G56" s="77">
        <f t="shared" si="6"/>
        <v>0.96625416366096761</v>
      </c>
      <c r="H56" s="77">
        <f t="shared" si="6"/>
        <v>0.82133269119251329</v>
      </c>
      <c r="J56" s="195"/>
    </row>
    <row r="57" spans="2:10" x14ac:dyDescent="0.25">
      <c r="B57" s="81">
        <v>2820</v>
      </c>
      <c r="C57" s="77">
        <f t="shared" si="7"/>
        <v>0.99807407538128368</v>
      </c>
      <c r="D57" s="77">
        <f t="shared" si="6"/>
        <v>0.98116295961822464</v>
      </c>
      <c r="E57" s="77">
        <f t="shared" si="6"/>
        <v>0.79615505675611487</v>
      </c>
      <c r="F57" s="77">
        <f t="shared" si="6"/>
        <v>0.78352808426883347</v>
      </c>
      <c r="G57" s="77">
        <f t="shared" si="6"/>
        <v>0.96845299108824145</v>
      </c>
      <c r="H57" s="77">
        <f t="shared" si="6"/>
        <v>0.82583074990755734</v>
      </c>
      <c r="J57" s="195"/>
    </row>
    <row r="58" spans="2:10" x14ac:dyDescent="0.25">
      <c r="B58" s="81">
        <v>2880</v>
      </c>
      <c r="C58" s="77">
        <f t="shared" si="7"/>
        <v>0.99835422529145801</v>
      </c>
      <c r="D58" s="77">
        <f t="shared" ref="D58:H70" si="8">WEIBULL($B58,D$4,D$5,TRUE)</f>
        <v>0.98273905782142812</v>
      </c>
      <c r="E58" s="77">
        <f t="shared" si="8"/>
        <v>0.80116852303087505</v>
      </c>
      <c r="F58" s="77">
        <f t="shared" si="8"/>
        <v>0.78846747735896383</v>
      </c>
      <c r="G58" s="77">
        <f t="shared" si="8"/>
        <v>0.97050497264032132</v>
      </c>
      <c r="H58" s="77">
        <f t="shared" si="8"/>
        <v>0.83018649542641332</v>
      </c>
      <c r="J58" s="195"/>
    </row>
    <row r="59" spans="2:10" x14ac:dyDescent="0.25">
      <c r="B59" s="81">
        <v>2940</v>
      </c>
      <c r="C59" s="77">
        <f t="shared" ref="C59:C70" si="9">WEIBULL(B59,C$4,C$5,TRUE)</f>
        <v>0.99859445161568139</v>
      </c>
      <c r="D59" s="77">
        <f t="shared" si="8"/>
        <v>0.98418425118320485</v>
      </c>
      <c r="E59" s="77">
        <f t="shared" si="8"/>
        <v>0.80603238756694651</v>
      </c>
      <c r="F59" s="77">
        <f t="shared" si="8"/>
        <v>0.7932655287093211</v>
      </c>
      <c r="G59" s="77">
        <f t="shared" si="8"/>
        <v>0.97242021651429678</v>
      </c>
      <c r="H59" s="77">
        <f t="shared" si="8"/>
        <v>0.83440573505732907</v>
      </c>
      <c r="J59" s="195"/>
    </row>
    <row r="60" spans="2:10" x14ac:dyDescent="0.25">
      <c r="B60" s="81">
        <v>3000</v>
      </c>
      <c r="C60" s="77">
        <f t="shared" si="9"/>
        <v>0.99880030783184282</v>
      </c>
      <c r="D60" s="77">
        <f t="shared" si="8"/>
        <v>0.9855093129682817</v>
      </c>
      <c r="E60" s="77">
        <f t="shared" si="8"/>
        <v>0.81075227210829959</v>
      </c>
      <c r="F60" s="77">
        <f t="shared" si="8"/>
        <v>0.79792749286178766</v>
      </c>
      <c r="G60" s="77">
        <f t="shared" si="8"/>
        <v>0.97420810820910164</v>
      </c>
      <c r="H60" s="77">
        <f t="shared" si="8"/>
        <v>0.83849396886432204</v>
      </c>
      <c r="J60" s="195"/>
    </row>
    <row r="61" spans="2:10" x14ac:dyDescent="0.25">
      <c r="B61" s="81">
        <v>3060</v>
      </c>
      <c r="C61" s="77">
        <f t="shared" si="9"/>
        <v>0.99897659723026577</v>
      </c>
      <c r="D61" s="77">
        <f t="shared" si="8"/>
        <v>0.98672414028579092</v>
      </c>
      <c r="E61" s="77">
        <f t="shared" si="8"/>
        <v>0.81533352635873835</v>
      </c>
      <c r="F61" s="77">
        <f t="shared" si="8"/>
        <v>0.802458367301222</v>
      </c>
      <c r="G61" s="77">
        <f t="shared" si="8"/>
        <v>0.97587736475502262</v>
      </c>
      <c r="H61" s="77">
        <f t="shared" si="8"/>
        <v>0.84245641038988506</v>
      </c>
      <c r="J61" s="195"/>
    </row>
    <row r="62" spans="2:10" x14ac:dyDescent="0.25">
      <c r="B62" s="81">
        <v>3120</v>
      </c>
      <c r="C62" s="77">
        <f t="shared" si="9"/>
        <v>0.99912747058076157</v>
      </c>
      <c r="D62" s="77">
        <f t="shared" si="8"/>
        <v>0.98783782419824773</v>
      </c>
      <c r="E62" s="77">
        <f t="shared" si="8"/>
        <v>0.81978124488864279</v>
      </c>
      <c r="F62" s="77">
        <f t="shared" si="8"/>
        <v>0.80686290875590783</v>
      </c>
      <c r="G62" s="77">
        <f t="shared" si="8"/>
        <v>0.97743608461311404</v>
      </c>
      <c r="H62" s="77">
        <f t="shared" si="8"/>
        <v>0.84629800564819613</v>
      </c>
      <c r="J62" s="195"/>
    </row>
    <row r="63" spans="2:10" x14ac:dyDescent="0.25">
      <c r="B63" s="81">
        <v>3180</v>
      </c>
      <c r="C63" s="77">
        <f t="shared" si="9"/>
        <v>0.99925651169259999</v>
      </c>
      <c r="D63" s="77">
        <f t="shared" si="8"/>
        <v>0.98885871435202799</v>
      </c>
      <c r="E63" s="77">
        <f t="shared" si="8"/>
        <v>0.82410028272431157</v>
      </c>
      <c r="F63" s="77">
        <f t="shared" si="8"/>
        <v>0.81114564820141166</v>
      </c>
      <c r="G63" s="77">
        <f t="shared" si="8"/>
        <v>0.97889179361878975</v>
      </c>
      <c r="H63" s="77">
        <f t="shared" si="8"/>
        <v>0.85002345056182371</v>
      </c>
      <c r="J63" s="195"/>
    </row>
    <row r="64" spans="2:10" x14ac:dyDescent="0.25">
      <c r="B64" s="81">
        <v>3240</v>
      </c>
      <c r="C64" s="77">
        <f t="shared" si="9"/>
        <v>0.99936681226600055</v>
      </c>
      <c r="D64" s="77">
        <f t="shared" si="8"/>
        <v>0.98979447854141911</v>
      </c>
      <c r="E64" s="77">
        <f t="shared" si="8"/>
        <v>0.8282952697444792</v>
      </c>
      <c r="F64" s="77">
        <f t="shared" si="8"/>
        <v>0.81531090469262435</v>
      </c>
      <c r="G64" s="77">
        <f t="shared" si="8"/>
        <v>0.98025148730817835</v>
      </c>
      <c r="H64" s="77">
        <f t="shared" si="8"/>
        <v>0.85363720699475343</v>
      </c>
      <c r="J64" s="195"/>
    </row>
    <row r="65" spans="2:10" x14ac:dyDescent="0.25">
      <c r="B65" s="81">
        <v>3300</v>
      </c>
      <c r="C65" s="77">
        <f t="shared" si="9"/>
        <v>0.99946103728984081</v>
      </c>
      <c r="D65" s="77">
        <f t="shared" si="8"/>
        <v>0.99065215758942815</v>
      </c>
      <c r="E65" s="77">
        <f t="shared" si="8"/>
        <v>0.83237062399472284</v>
      </c>
      <c r="F65" s="77">
        <f t="shared" si="8"/>
        <v>0.81936279813468893</v>
      </c>
      <c r="G65" s="77">
        <f t="shared" si="8"/>
        <v>0.98152166993395051</v>
      </c>
      <c r="H65" s="77">
        <f t="shared" si="8"/>
        <v>0.85714351751708107</v>
      </c>
      <c r="J65" s="195"/>
    </row>
    <row r="66" spans="2:10" x14ac:dyDescent="0.25">
      <c r="B66" s="81">
        <v>3360</v>
      </c>
      <c r="C66" s="77">
        <f t="shared" si="9"/>
        <v>0.99954148210797467</v>
      </c>
      <c r="D66" s="77">
        <f t="shared" si="8"/>
        <v>0.99143821590136516</v>
      </c>
      <c r="E66" s="77">
        <f t="shared" si="8"/>
        <v>0.83633056401838557</v>
      </c>
      <c r="F66" s="77">
        <f t="shared" si="8"/>
        <v>0.82330526109125246</v>
      </c>
      <c r="G66" s="77">
        <f t="shared" si="8"/>
        <v>0.98270839044882052</v>
      </c>
      <c r="H66" s="77">
        <f t="shared" si="8"/>
        <v>0.86054641902150664</v>
      </c>
      <c r="J66" s="195"/>
    </row>
    <row r="67" spans="2:10" x14ac:dyDescent="0.25">
      <c r="B67" s="81">
        <v>3420</v>
      </c>
      <c r="C67" s="77">
        <f t="shared" si="9"/>
        <v>0.99961012215554346</v>
      </c>
      <c r="D67" s="77">
        <f t="shared" si="8"/>
        <v>0.99215858802171975</v>
      </c>
      <c r="E67" s="77">
        <f t="shared" si="8"/>
        <v>0.84017912029206265</v>
      </c>
      <c r="F67" s="77">
        <f t="shared" si="8"/>
        <v>0.82714204971777017</v>
      </c>
      <c r="G67" s="77">
        <f t="shared" si="8"/>
        <v>0.9838172757093584</v>
      </c>
      <c r="H67" s="77">
        <f t="shared" si="8"/>
        <v>0.86384975529850694</v>
      </c>
      <c r="J67" s="195"/>
    </row>
    <row r="68" spans="2:10" x14ac:dyDescent="0.25">
      <c r="B68" s="81">
        <v>3480</v>
      </c>
      <c r="C68" s="77">
        <f t="shared" si="9"/>
        <v>0.99966865625652246</v>
      </c>
      <c r="D68" s="77">
        <f t="shared" si="8"/>
        <v>0.99281872150095785</v>
      </c>
      <c r="E68" s="77">
        <f t="shared" si="8"/>
        <v>0.84392014584443042</v>
      </c>
      <c r="F68" s="77">
        <f t="shared" si="8"/>
        <v>0.83087675389821936</v>
      </c>
      <c r="G68" s="77">
        <f t="shared" si="8"/>
        <v>0.98485356112980538</v>
      </c>
      <c r="H68" s="77">
        <f t="shared" si="8"/>
        <v>0.86705718866547032</v>
      </c>
      <c r="J68" s="195"/>
    </row>
    <row r="69" spans="2:10" x14ac:dyDescent="0.25">
      <c r="B69" s="81">
        <v>3540</v>
      </c>
      <c r="C69" s="77">
        <f t="shared" si="9"/>
        <v>0.99971854427391049</v>
      </c>
      <c r="D69" s="77">
        <f t="shared" si="8"/>
        <v>0.99342361635651377</v>
      </c>
      <c r="E69" s="77">
        <f t="shared" si="8"/>
        <v>0.84755732612903345</v>
      </c>
      <c r="F69" s="77">
        <f t="shared" si="8"/>
        <v>0.83451280665534555</v>
      </c>
      <c r="G69" s="77">
        <f t="shared" si="8"/>
        <v>0.98582211899494654</v>
      </c>
      <c r="H69" s="77">
        <f t="shared" si="8"/>
        <v>0.87017221073491702</v>
      </c>
      <c r="J69" s="195"/>
    </row>
    <row r="70" spans="2:10" x14ac:dyDescent="0.25">
      <c r="B70" s="81">
        <v>3600</v>
      </c>
      <c r="C70" s="77">
        <f t="shared" si="9"/>
        <v>0.99976103981381825</v>
      </c>
      <c r="D70" s="77">
        <f t="shared" si="8"/>
        <v>0.99397786139137079</v>
      </c>
      <c r="E70" s="77">
        <f t="shared" si="8"/>
        <v>0.85109418821447025</v>
      </c>
      <c r="F70" s="77">
        <f t="shared" si="8"/>
        <v>0.83805349289732733</v>
      </c>
      <c r="G70" s="77">
        <f t="shared" si="8"/>
        <v>0.98672748462250615</v>
      </c>
      <c r="H70" s="77">
        <f t="shared" si="8"/>
        <v>0.87319815239800791</v>
      </c>
      <c r="J70" s="195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3"/>
  <dimension ref="B9:L28"/>
  <sheetViews>
    <sheetView showGridLines="0" topLeftCell="A4" zoomScale="80" zoomScaleNormal="80" workbookViewId="0">
      <selection activeCell="D16" sqref="D16"/>
    </sheetView>
  </sheetViews>
  <sheetFormatPr defaultRowHeight="15" x14ac:dyDescent="0.25"/>
  <cols>
    <col min="2" max="2" width="26.28515625" bestFit="1" customWidth="1"/>
    <col min="3" max="3" width="18.85546875" bestFit="1" customWidth="1"/>
    <col min="4" max="10" width="15.7109375" customWidth="1"/>
  </cols>
  <sheetData>
    <row r="9" spans="2:12" x14ac:dyDescent="0.25">
      <c r="L9" s="15"/>
    </row>
    <row r="10" spans="2:12" x14ac:dyDescent="0.25">
      <c r="L10" s="15"/>
    </row>
    <row r="11" spans="2:12" ht="30" customHeight="1" x14ac:dyDescent="0.25">
      <c r="C11" s="155"/>
      <c r="D11" s="147"/>
      <c r="E11" s="147"/>
      <c r="L11" s="15"/>
    </row>
    <row r="12" spans="2:12" ht="30" customHeight="1" x14ac:dyDescent="0.25"/>
    <row r="13" spans="2:12" ht="30" customHeight="1" x14ac:dyDescent="0.25">
      <c r="C13" s="85" t="s">
        <v>76</v>
      </c>
      <c r="D13" s="85" t="s">
        <v>77</v>
      </c>
      <c r="E13" s="144" t="s">
        <v>81</v>
      </c>
      <c r="F13" s="86" t="s">
        <v>78</v>
      </c>
      <c r="G13" s="86" t="s">
        <v>79</v>
      </c>
      <c r="H13" s="86" t="s">
        <v>80</v>
      </c>
    </row>
    <row r="15" spans="2:12" x14ac:dyDescent="0.25">
      <c r="B15" s="86" t="s">
        <v>11</v>
      </c>
      <c r="C15" s="94">
        <v>554</v>
      </c>
      <c r="D15" s="94">
        <v>3101</v>
      </c>
      <c r="E15" s="94">
        <f>Modelagem!F7</f>
        <v>2425</v>
      </c>
      <c r="F15" s="94">
        <f ca="1">('Análises Quantitativas de Falha'!G15/60)*E15+C15</f>
        <v>1815</v>
      </c>
      <c r="G15" s="94">
        <f ca="1">('Análises Quantitativas de Falha'!G15/60)*E15+D15</f>
        <v>4362</v>
      </c>
      <c r="H15" s="94">
        <f ca="1">('Análises Quantitativas de Falha'!H15/60)*E15+Custos!D15</f>
        <v>8958.5297619047615</v>
      </c>
    </row>
    <row r="16" spans="2:12" x14ac:dyDescent="0.25">
      <c r="B16" s="86" t="s">
        <v>12</v>
      </c>
      <c r="C16" s="94">
        <v>800</v>
      </c>
      <c r="D16" s="94">
        <v>4904</v>
      </c>
      <c r="E16" s="94">
        <f>Modelagem!F8</f>
        <v>400</v>
      </c>
      <c r="F16" s="94">
        <f ca="1">('Análises Quantitativas de Falha'!G16/60)*E16+C16</f>
        <v>1024</v>
      </c>
      <c r="G16" s="94">
        <f ca="1">('Análises Quantitativas de Falha'!G16/60)*E16+D16</f>
        <v>5128</v>
      </c>
      <c r="H16" s="94">
        <f ca="1">('Análises Quantitativas de Falha'!H16/60)*E16+Custos!D16</f>
        <v>5478.0740740740739</v>
      </c>
    </row>
    <row r="17" spans="2:10" x14ac:dyDescent="0.25">
      <c r="B17" s="86" t="s">
        <v>13</v>
      </c>
      <c r="C17" s="94">
        <v>850</v>
      </c>
      <c r="D17" s="94">
        <v>4669</v>
      </c>
      <c r="E17" s="94">
        <f>Modelagem!F9</f>
        <v>1218</v>
      </c>
      <c r="F17" s="94">
        <f ca="1">('Análises Quantitativas de Falha'!G17/60)*E17+C17</f>
        <v>1641.7</v>
      </c>
      <c r="G17" s="94">
        <f ca="1">('Análises Quantitativas de Falha'!G17/60)*E17+D17</f>
        <v>5460.7</v>
      </c>
      <c r="H17" s="94">
        <f ca="1">('Análises Quantitativas de Falha'!H17/60)*E17+Custos!D17</f>
        <v>10226.125</v>
      </c>
    </row>
    <row r="18" spans="2:10" x14ac:dyDescent="0.25">
      <c r="B18" s="86" t="s">
        <v>14</v>
      </c>
      <c r="C18" s="94">
        <v>941</v>
      </c>
      <c r="D18" s="94">
        <v>5772</v>
      </c>
      <c r="E18" s="94">
        <f>Modelagem!F10</f>
        <v>478</v>
      </c>
      <c r="F18" s="94">
        <f ca="1">('Análises Quantitativas de Falha'!G18/60)*E18+C18</f>
        <v>1020.6666666666666</v>
      </c>
      <c r="G18" s="94">
        <f ca="1">('Análises Quantitativas de Falha'!G18/60)*E18+D18</f>
        <v>5851.666666666667</v>
      </c>
      <c r="H18" s="94">
        <f ca="1">('Análises Quantitativas de Falha'!H18/60)*E18+Custos!D18</f>
        <v>7484.8333333333339</v>
      </c>
    </row>
    <row r="19" spans="2:10" x14ac:dyDescent="0.25">
      <c r="B19" s="86" t="s">
        <v>15</v>
      </c>
      <c r="C19" s="94">
        <v>642</v>
      </c>
      <c r="D19" s="94">
        <v>4100</v>
      </c>
      <c r="E19" s="94">
        <f>Modelagem!F11</f>
        <v>2310</v>
      </c>
      <c r="F19" s="94">
        <f ca="1">('Análises Quantitativas de Falha'!G19/60)*E19+C19</f>
        <v>1027</v>
      </c>
      <c r="G19" s="94">
        <f ca="1">('Análises Quantitativas de Falha'!G19/60)*E19+D19</f>
        <v>4485</v>
      </c>
      <c r="H19" s="94">
        <f ca="1">('Análises Quantitativas de Falha'!H19/60)*E19+Custos!D19</f>
        <v>8659.0416666666679</v>
      </c>
    </row>
    <row r="20" spans="2:10" x14ac:dyDescent="0.25">
      <c r="B20" s="89" t="s">
        <v>28</v>
      </c>
      <c r="C20" s="94">
        <v>920</v>
      </c>
      <c r="D20" s="94">
        <v>6502</v>
      </c>
      <c r="E20" s="94">
        <f>Modelagem!F12</f>
        <v>2727</v>
      </c>
      <c r="F20" s="94">
        <f ca="1">('Análises Quantitativas de Falha'!G20/60)*E20+C20</f>
        <v>2601.65</v>
      </c>
      <c r="G20" s="94">
        <f ca="1">('Análises Quantitativas de Falha'!G20/60)*E20+D20</f>
        <v>8183.65</v>
      </c>
      <c r="H20" s="94">
        <f ca="1">('Análises Quantitativas de Falha'!H20/60)*E20+Custos!D20</f>
        <v>13876.262500000001</v>
      </c>
    </row>
    <row r="23" spans="2:10" x14ac:dyDescent="0.25">
      <c r="D23" s="140"/>
      <c r="E23" s="140"/>
      <c r="F23" s="114"/>
      <c r="G23" s="114"/>
      <c r="H23" s="114"/>
      <c r="I23" s="114"/>
      <c r="J23" s="114"/>
    </row>
    <row r="24" spans="2:10" x14ac:dyDescent="0.25">
      <c r="D24" s="140"/>
      <c r="E24" s="140"/>
      <c r="F24" s="114"/>
      <c r="G24" s="114"/>
      <c r="H24" s="114"/>
      <c r="I24" s="114"/>
      <c r="J24" s="114"/>
    </row>
    <row r="25" spans="2:10" x14ac:dyDescent="0.25">
      <c r="D25" s="140"/>
      <c r="E25" s="140"/>
      <c r="F25" s="114"/>
      <c r="G25" s="114"/>
      <c r="H25" s="114"/>
      <c r="I25" s="114"/>
      <c r="J25" s="114"/>
    </row>
    <row r="26" spans="2:10" x14ac:dyDescent="0.25">
      <c r="D26" s="140"/>
      <c r="E26" s="140"/>
      <c r="F26" s="114"/>
      <c r="G26" s="114"/>
      <c r="H26" s="114"/>
      <c r="I26" s="114"/>
      <c r="J26" s="114"/>
    </row>
    <row r="27" spans="2:10" x14ac:dyDescent="0.25">
      <c r="D27" s="140"/>
      <c r="E27" s="140"/>
      <c r="F27" s="114"/>
      <c r="G27" s="114"/>
      <c r="H27" s="114"/>
      <c r="I27" s="114"/>
      <c r="J27" s="114"/>
    </row>
    <row r="28" spans="2:10" x14ac:dyDescent="0.25">
      <c r="D28" s="140"/>
      <c r="E28" s="140"/>
      <c r="F28" s="114"/>
      <c r="G28" s="114"/>
      <c r="H28" s="114"/>
      <c r="I28" s="114"/>
      <c r="J28" s="1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"/>
  <dimension ref="A11:P11"/>
  <sheetViews>
    <sheetView showGridLines="0" topLeftCell="A10" zoomScale="70" zoomScaleNormal="70" workbookViewId="0">
      <selection activeCell="U36" sqref="U36"/>
    </sheetView>
  </sheetViews>
  <sheetFormatPr defaultRowHeight="15" x14ac:dyDescent="0.25"/>
  <sheetData>
    <row r="11" spans="1:16" x14ac:dyDescent="0.25">
      <c r="A11" s="103" t="s">
        <v>86</v>
      </c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1"/>
  <dimension ref="B2:AP43"/>
  <sheetViews>
    <sheetView showGridLines="0" topLeftCell="A4" zoomScale="90" zoomScaleNormal="90" workbookViewId="0">
      <selection activeCell="AL7" sqref="AL7"/>
    </sheetView>
  </sheetViews>
  <sheetFormatPr defaultRowHeight="15" x14ac:dyDescent="0.25"/>
  <cols>
    <col min="2" max="2" width="10.5703125" bestFit="1" customWidth="1"/>
    <col min="8" max="8" width="9" customWidth="1"/>
    <col min="9" max="9" width="10.5703125" bestFit="1" customWidth="1"/>
    <col min="16" max="16" width="10.5703125" bestFit="1" customWidth="1"/>
    <col min="23" max="23" width="10.5703125" bestFit="1" customWidth="1"/>
    <col min="30" max="30" width="10.5703125" bestFit="1" customWidth="1"/>
    <col min="37" max="37" width="10.5703125" bestFit="1" customWidth="1"/>
  </cols>
  <sheetData>
    <row r="2" spans="2:42" x14ac:dyDescent="0.25">
      <c r="B2" s="156"/>
      <c r="C2" s="156"/>
      <c r="D2" s="164" t="s">
        <v>98</v>
      </c>
      <c r="E2" s="163">
        <v>1000</v>
      </c>
      <c r="F2" s="156"/>
      <c r="G2" s="156"/>
      <c r="I2" s="103"/>
      <c r="J2" s="103"/>
      <c r="K2" s="164" t="s">
        <v>98</v>
      </c>
      <c r="L2" s="163">
        <v>2000</v>
      </c>
      <c r="M2" s="103"/>
      <c r="N2" s="103"/>
      <c r="P2" s="103"/>
      <c r="Q2" s="103"/>
      <c r="R2" s="164" t="s">
        <v>98</v>
      </c>
      <c r="S2" s="163">
        <v>3000</v>
      </c>
      <c r="T2" s="103"/>
      <c r="U2" s="103"/>
      <c r="W2" s="103"/>
      <c r="X2" s="103"/>
      <c r="Y2" s="164" t="s">
        <v>98</v>
      </c>
      <c r="Z2" s="163">
        <v>5000</v>
      </c>
      <c r="AA2" s="103"/>
      <c r="AB2" s="103"/>
      <c r="AD2" s="103"/>
      <c r="AE2" s="103"/>
      <c r="AF2" s="164" t="s">
        <v>98</v>
      </c>
      <c r="AG2" s="163">
        <v>7000</v>
      </c>
      <c r="AH2" s="103"/>
      <c r="AI2" s="103"/>
      <c r="AK2" s="103"/>
      <c r="AL2" s="103"/>
      <c r="AM2" s="164" t="s">
        <v>98</v>
      </c>
      <c r="AN2" s="163">
        <v>15000</v>
      </c>
      <c r="AO2" s="103"/>
      <c r="AP2" s="103"/>
    </row>
    <row r="4" spans="2:42" ht="45" x14ac:dyDescent="0.25">
      <c r="B4" s="86" t="s">
        <v>93</v>
      </c>
      <c r="C4" s="144" t="s">
        <v>94</v>
      </c>
      <c r="D4" s="144" t="s">
        <v>99</v>
      </c>
      <c r="E4" s="144" t="s">
        <v>95</v>
      </c>
      <c r="F4" s="144" t="s">
        <v>91</v>
      </c>
      <c r="G4" s="144" t="s">
        <v>92</v>
      </c>
      <c r="I4" s="86" t="s">
        <v>93</v>
      </c>
      <c r="J4" s="144" t="s">
        <v>94</v>
      </c>
      <c r="K4" s="165" t="s">
        <v>99</v>
      </c>
      <c r="L4" s="144" t="s">
        <v>95</v>
      </c>
      <c r="M4" s="144" t="s">
        <v>91</v>
      </c>
      <c r="N4" s="144" t="s">
        <v>92</v>
      </c>
      <c r="P4" s="86" t="s">
        <v>93</v>
      </c>
      <c r="Q4" s="144" t="s">
        <v>94</v>
      </c>
      <c r="R4" s="165" t="s">
        <v>99</v>
      </c>
      <c r="S4" s="144" t="s">
        <v>95</v>
      </c>
      <c r="T4" s="144" t="s">
        <v>91</v>
      </c>
      <c r="U4" s="144" t="s">
        <v>92</v>
      </c>
      <c r="W4" s="86" t="s">
        <v>93</v>
      </c>
      <c r="X4" s="144" t="s">
        <v>94</v>
      </c>
      <c r="Y4" s="165" t="s">
        <v>99</v>
      </c>
      <c r="Z4" s="144" t="s">
        <v>95</v>
      </c>
      <c r="AA4" s="144" t="s">
        <v>91</v>
      </c>
      <c r="AB4" s="144" t="s">
        <v>92</v>
      </c>
      <c r="AD4" s="86" t="s">
        <v>93</v>
      </c>
      <c r="AE4" s="144" t="s">
        <v>94</v>
      </c>
      <c r="AF4" s="165" t="s">
        <v>99</v>
      </c>
      <c r="AG4" s="144" t="s">
        <v>95</v>
      </c>
      <c r="AH4" s="144" t="s">
        <v>91</v>
      </c>
      <c r="AI4" s="144" t="s">
        <v>92</v>
      </c>
      <c r="AK4" s="86" t="s">
        <v>93</v>
      </c>
      <c r="AL4" s="165" t="s">
        <v>94</v>
      </c>
      <c r="AM4" s="165" t="s">
        <v>99</v>
      </c>
      <c r="AN4" s="165" t="s">
        <v>95</v>
      </c>
      <c r="AO4" s="165" t="s">
        <v>91</v>
      </c>
      <c r="AP4" s="165" t="s">
        <v>92</v>
      </c>
    </row>
    <row r="5" spans="2:42" x14ac:dyDescent="0.25">
      <c r="B5" s="84" t="s">
        <v>29</v>
      </c>
      <c r="C5" s="84">
        <v>900</v>
      </c>
      <c r="D5" s="171">
        <v>0.19677322144290393</v>
      </c>
      <c r="E5" s="84" t="s">
        <v>96</v>
      </c>
      <c r="F5" s="144">
        <v>0</v>
      </c>
      <c r="G5" s="144">
        <v>3264.9336627622938</v>
      </c>
      <c r="I5" s="84" t="s">
        <v>29</v>
      </c>
      <c r="J5" s="84">
        <v>900</v>
      </c>
      <c r="K5" s="171">
        <v>0.19677322144290393</v>
      </c>
      <c r="L5" s="84" t="s">
        <v>96</v>
      </c>
      <c r="M5" s="144">
        <v>0</v>
      </c>
      <c r="N5" s="144">
        <v>3264.9336627622938</v>
      </c>
      <c r="P5" s="84" t="s">
        <v>29</v>
      </c>
      <c r="Q5" s="84">
        <v>900</v>
      </c>
      <c r="R5" s="16">
        <v>0.19677322144290393</v>
      </c>
      <c r="S5" s="157" t="s">
        <v>97</v>
      </c>
      <c r="T5" s="144">
        <v>1074</v>
      </c>
      <c r="U5" s="144">
        <v>872.54524954657359</v>
      </c>
      <c r="W5" s="84" t="s">
        <v>29</v>
      </c>
      <c r="X5" s="84">
        <v>900</v>
      </c>
      <c r="Y5" s="16">
        <v>0.19677322144290393</v>
      </c>
      <c r="Z5" s="157" t="s">
        <v>97</v>
      </c>
      <c r="AA5" s="144">
        <v>1074</v>
      </c>
      <c r="AB5" s="144">
        <v>872.54524954657359</v>
      </c>
      <c r="AD5" s="84" t="s">
        <v>29</v>
      </c>
      <c r="AE5" s="84">
        <v>900</v>
      </c>
      <c r="AF5" s="16">
        <v>0.19677322144290393</v>
      </c>
      <c r="AG5" s="157" t="s">
        <v>97</v>
      </c>
      <c r="AH5" s="144">
        <v>1074</v>
      </c>
      <c r="AI5" s="144">
        <v>872.54524954657359</v>
      </c>
      <c r="AK5" s="84" t="s">
        <v>29</v>
      </c>
      <c r="AL5" s="84">
        <v>900</v>
      </c>
      <c r="AM5" s="16">
        <v>0.19677322144290393</v>
      </c>
      <c r="AN5" s="157" t="s">
        <v>97</v>
      </c>
      <c r="AO5" s="165">
        <v>1074</v>
      </c>
      <c r="AP5" s="165">
        <v>872.54524954657359</v>
      </c>
    </row>
    <row r="6" spans="2:42" x14ac:dyDescent="0.25">
      <c r="B6" s="84" t="s">
        <v>30</v>
      </c>
      <c r="C6" s="84">
        <v>900</v>
      </c>
      <c r="D6" s="16">
        <v>0.29525185079093719</v>
      </c>
      <c r="E6" s="84" t="s">
        <v>96</v>
      </c>
      <c r="F6" s="144">
        <v>0</v>
      </c>
      <c r="G6" s="144">
        <v>2871.9829457696374</v>
      </c>
      <c r="I6" s="84" t="s">
        <v>30</v>
      </c>
      <c r="J6" s="84">
        <v>900</v>
      </c>
      <c r="K6" s="16">
        <v>0.29525185079093719</v>
      </c>
      <c r="L6" s="84" t="s">
        <v>96</v>
      </c>
      <c r="M6" s="144">
        <v>0</v>
      </c>
      <c r="N6" s="144">
        <v>2871.9829457696374</v>
      </c>
      <c r="P6" s="84" t="s">
        <v>30</v>
      </c>
      <c r="Q6" s="84">
        <v>900</v>
      </c>
      <c r="R6" s="16">
        <v>0.29525185079093719</v>
      </c>
      <c r="S6" s="84" t="s">
        <v>96</v>
      </c>
      <c r="T6" s="144">
        <v>0</v>
      </c>
      <c r="U6" s="144">
        <v>2871.9829457696374</v>
      </c>
      <c r="W6" s="84" t="s">
        <v>30</v>
      </c>
      <c r="X6" s="84">
        <v>900</v>
      </c>
      <c r="Y6" s="16">
        <v>0.29525185079093719</v>
      </c>
      <c r="Z6" s="157" t="s">
        <v>97</v>
      </c>
      <c r="AA6" s="144">
        <v>1360</v>
      </c>
      <c r="AB6" s="144">
        <v>1155.2231661834958</v>
      </c>
      <c r="AD6" s="84" t="s">
        <v>30</v>
      </c>
      <c r="AE6" s="84">
        <v>900</v>
      </c>
      <c r="AF6" s="16">
        <v>0.29525185079093719</v>
      </c>
      <c r="AG6" s="157" t="s">
        <v>97</v>
      </c>
      <c r="AH6" s="144">
        <v>1360</v>
      </c>
      <c r="AI6" s="144">
        <v>1155.2231661834958</v>
      </c>
      <c r="AK6" s="84" t="s">
        <v>30</v>
      </c>
      <c r="AL6" s="84">
        <v>900</v>
      </c>
      <c r="AM6" s="16">
        <v>0.29525185079093719</v>
      </c>
      <c r="AN6" s="157" t="s">
        <v>97</v>
      </c>
      <c r="AO6" s="165">
        <v>1360</v>
      </c>
      <c r="AP6" s="165">
        <v>1155.2231661834958</v>
      </c>
    </row>
    <row r="7" spans="2:42" x14ac:dyDescent="0.25">
      <c r="B7" s="84" t="s">
        <v>31</v>
      </c>
      <c r="C7" s="84">
        <v>900</v>
      </c>
      <c r="D7" s="16">
        <v>0.5042610928083997</v>
      </c>
      <c r="E7" s="84" t="s">
        <v>96</v>
      </c>
      <c r="F7" s="144">
        <v>0</v>
      </c>
      <c r="G7" s="144">
        <v>2033.9616541063369</v>
      </c>
      <c r="I7" s="84" t="s">
        <v>31</v>
      </c>
      <c r="J7" s="84">
        <v>900</v>
      </c>
      <c r="K7" s="16">
        <v>0.5042610928083997</v>
      </c>
      <c r="L7" s="84" t="s">
        <v>96</v>
      </c>
      <c r="M7" s="144">
        <v>0</v>
      </c>
      <c r="N7" s="144">
        <v>2033.9616541063369</v>
      </c>
      <c r="P7" s="84" t="s">
        <v>31</v>
      </c>
      <c r="Q7" s="84">
        <v>900</v>
      </c>
      <c r="R7" s="16">
        <v>0.5042610928083997</v>
      </c>
      <c r="S7" s="84" t="s">
        <v>96</v>
      </c>
      <c r="T7" s="144">
        <v>0</v>
      </c>
      <c r="U7" s="144">
        <v>2033.9616541063369</v>
      </c>
      <c r="W7" s="84" t="s">
        <v>31</v>
      </c>
      <c r="X7" s="84">
        <v>900</v>
      </c>
      <c r="Y7" s="16">
        <v>0.5042610928083997</v>
      </c>
      <c r="Z7" s="84" t="s">
        <v>96</v>
      </c>
      <c r="AA7" s="144">
        <v>0</v>
      </c>
      <c r="AB7" s="144">
        <v>2033.9616541063369</v>
      </c>
      <c r="AD7" s="84" t="s">
        <v>31</v>
      </c>
      <c r="AE7" s="84">
        <v>900</v>
      </c>
      <c r="AF7" s="16">
        <v>0.5042610928083997</v>
      </c>
      <c r="AG7" s="84" t="s">
        <v>96</v>
      </c>
      <c r="AH7" s="144">
        <v>0</v>
      </c>
      <c r="AI7" s="144">
        <v>2033.9616541063369</v>
      </c>
      <c r="AK7" s="84" t="s">
        <v>31</v>
      </c>
      <c r="AL7" s="84">
        <v>900</v>
      </c>
      <c r="AM7" s="16">
        <v>0.5042610928083997</v>
      </c>
      <c r="AN7" s="84" t="s">
        <v>96</v>
      </c>
      <c r="AO7" s="165">
        <v>0</v>
      </c>
      <c r="AP7" s="165">
        <v>2033.9616541063369</v>
      </c>
    </row>
    <row r="8" spans="2:42" x14ac:dyDescent="0.25">
      <c r="B8" s="84" t="s">
        <v>32</v>
      </c>
      <c r="C8" s="84">
        <v>900</v>
      </c>
      <c r="D8" s="16">
        <v>0.50696385388211596</v>
      </c>
      <c r="E8" s="84" t="s">
        <v>96</v>
      </c>
      <c r="F8" s="144">
        <v>0</v>
      </c>
      <c r="G8" s="144">
        <v>3843.7645769290375</v>
      </c>
      <c r="I8" s="84" t="s">
        <v>32</v>
      </c>
      <c r="J8" s="84">
        <v>900</v>
      </c>
      <c r="K8" s="171">
        <v>0.50696385388211596</v>
      </c>
      <c r="L8" s="157" t="s">
        <v>97</v>
      </c>
      <c r="M8" s="144">
        <v>1107.6666666666667</v>
      </c>
      <c r="N8" s="144">
        <v>878.39319792362244</v>
      </c>
      <c r="P8" s="84" t="s">
        <v>32</v>
      </c>
      <c r="Q8" s="84">
        <v>900</v>
      </c>
      <c r="R8" s="16">
        <v>0.50696385388211596</v>
      </c>
      <c r="S8" s="157" t="s">
        <v>97</v>
      </c>
      <c r="T8" s="144">
        <v>1107.6666666666667</v>
      </c>
      <c r="U8" s="144">
        <v>878.39319792362244</v>
      </c>
      <c r="W8" s="84" t="s">
        <v>32</v>
      </c>
      <c r="X8" s="84">
        <v>900</v>
      </c>
      <c r="Y8" s="16">
        <v>0.50696385388211596</v>
      </c>
      <c r="Z8" s="157" t="s">
        <v>97</v>
      </c>
      <c r="AA8" s="144">
        <v>1107.6666666666667</v>
      </c>
      <c r="AB8" s="144">
        <v>878.39319792362244</v>
      </c>
      <c r="AD8" s="84" t="s">
        <v>32</v>
      </c>
      <c r="AE8" s="84">
        <v>900</v>
      </c>
      <c r="AF8" s="16">
        <v>0.50696385388211596</v>
      </c>
      <c r="AG8" s="157" t="s">
        <v>97</v>
      </c>
      <c r="AH8" s="144">
        <v>1107.6666666666667</v>
      </c>
      <c r="AI8" s="144">
        <v>878.39319792362244</v>
      </c>
      <c r="AK8" s="84" t="s">
        <v>32</v>
      </c>
      <c r="AL8" s="84">
        <v>900</v>
      </c>
      <c r="AM8" s="16">
        <v>0.50696385388211596</v>
      </c>
      <c r="AN8" s="157" t="s">
        <v>97</v>
      </c>
      <c r="AO8" s="165">
        <v>1107.6666666666667</v>
      </c>
      <c r="AP8" s="165">
        <v>878.39319792362244</v>
      </c>
    </row>
    <row r="9" spans="2:42" x14ac:dyDescent="0.25">
      <c r="B9" s="84" t="s">
        <v>33</v>
      </c>
      <c r="C9" s="84">
        <v>900</v>
      </c>
      <c r="D9" s="171">
        <v>0.29672416260157097</v>
      </c>
      <c r="E9" s="157" t="s">
        <v>97</v>
      </c>
      <c r="F9" s="144">
        <v>808.66666666666663</v>
      </c>
      <c r="G9" s="144">
        <v>900.19307186998947</v>
      </c>
      <c r="I9" s="84" t="s">
        <v>33</v>
      </c>
      <c r="J9" s="84">
        <v>900</v>
      </c>
      <c r="K9" s="171">
        <v>0.29672416260157097</v>
      </c>
      <c r="L9" s="157" t="s">
        <v>97</v>
      </c>
      <c r="M9" s="144">
        <v>808.66666666666663</v>
      </c>
      <c r="N9" s="144">
        <v>900.19307186998947</v>
      </c>
      <c r="P9" s="84" t="s">
        <v>33</v>
      </c>
      <c r="Q9" s="84">
        <v>900</v>
      </c>
      <c r="R9" s="16">
        <v>0.29672416260157097</v>
      </c>
      <c r="S9" s="157" t="s">
        <v>97</v>
      </c>
      <c r="T9" s="144">
        <v>808.66666666666663</v>
      </c>
      <c r="U9" s="144">
        <v>900.19307186998947</v>
      </c>
      <c r="W9" s="84" t="s">
        <v>33</v>
      </c>
      <c r="X9" s="84">
        <v>900</v>
      </c>
      <c r="Y9" s="16">
        <v>0.29672416260157097</v>
      </c>
      <c r="Z9" s="157" t="s">
        <v>97</v>
      </c>
      <c r="AA9" s="144">
        <v>808.66666666666663</v>
      </c>
      <c r="AB9" s="144">
        <v>900.19307186998947</v>
      </c>
      <c r="AD9" s="84" t="s">
        <v>33</v>
      </c>
      <c r="AE9" s="84">
        <v>900</v>
      </c>
      <c r="AF9" s="16">
        <v>0.29672416260157097</v>
      </c>
      <c r="AG9" s="157" t="s">
        <v>97</v>
      </c>
      <c r="AH9" s="144">
        <v>808.66666666666663</v>
      </c>
      <c r="AI9" s="144">
        <v>900.19307186998947</v>
      </c>
      <c r="AK9" s="84" t="s">
        <v>33</v>
      </c>
      <c r="AL9" s="84">
        <v>900</v>
      </c>
      <c r="AM9" s="16">
        <v>0.29672416260157097</v>
      </c>
      <c r="AN9" s="157" t="s">
        <v>97</v>
      </c>
      <c r="AO9" s="165">
        <v>808.66666666666663</v>
      </c>
      <c r="AP9" s="165">
        <v>900.19307186998947</v>
      </c>
    </row>
    <row r="10" spans="2:42" x14ac:dyDescent="0.25">
      <c r="B10" s="84" t="s">
        <v>23</v>
      </c>
      <c r="C10" s="84">
        <v>900</v>
      </c>
      <c r="D10" s="16">
        <v>0.44897423717846696</v>
      </c>
      <c r="E10" s="84" t="s">
        <v>96</v>
      </c>
      <c r="F10" s="144">
        <v>0</v>
      </c>
      <c r="G10" s="144">
        <v>2898.7628629498113</v>
      </c>
      <c r="I10" s="84" t="s">
        <v>23</v>
      </c>
      <c r="J10" s="84">
        <v>900</v>
      </c>
      <c r="K10" s="16">
        <v>0.44897423717846696</v>
      </c>
      <c r="L10" s="84" t="s">
        <v>96</v>
      </c>
      <c r="M10" s="144">
        <v>0</v>
      </c>
      <c r="N10" s="144">
        <v>2898.7628629498113</v>
      </c>
      <c r="P10" s="84" t="s">
        <v>23</v>
      </c>
      <c r="Q10" s="84">
        <v>900</v>
      </c>
      <c r="R10" s="16">
        <v>0.44897423717846696</v>
      </c>
      <c r="S10" s="84" t="s">
        <v>96</v>
      </c>
      <c r="T10" s="144">
        <v>0</v>
      </c>
      <c r="U10" s="144">
        <v>2898.7628629498113</v>
      </c>
      <c r="W10" s="84" t="s">
        <v>23</v>
      </c>
      <c r="X10" s="84">
        <v>900</v>
      </c>
      <c r="Y10" s="16">
        <v>0.44897423717846696</v>
      </c>
      <c r="Z10" s="84" t="s">
        <v>96</v>
      </c>
      <c r="AA10" s="144">
        <v>0</v>
      </c>
      <c r="AB10" s="144">
        <v>2898.7628629498113</v>
      </c>
      <c r="AD10" s="84" t="s">
        <v>23</v>
      </c>
      <c r="AE10" s="84">
        <v>900</v>
      </c>
      <c r="AF10" s="16">
        <v>0.44897423717846696</v>
      </c>
      <c r="AG10" s="157" t="s">
        <v>97</v>
      </c>
      <c r="AH10" s="144">
        <v>1536.6666666666667</v>
      </c>
      <c r="AI10" s="144">
        <v>1176.7706190816664</v>
      </c>
      <c r="AK10" s="84" t="s">
        <v>23</v>
      </c>
      <c r="AL10" s="84">
        <v>900</v>
      </c>
      <c r="AM10" s="16">
        <v>0.44897423717846696</v>
      </c>
      <c r="AN10" s="157" t="s">
        <v>97</v>
      </c>
      <c r="AO10" s="165">
        <v>1536.6666666666667</v>
      </c>
      <c r="AP10" s="165">
        <v>1176.7706190816664</v>
      </c>
    </row>
    <row r="12" spans="2:42" x14ac:dyDescent="0.25">
      <c r="B12" s="161" t="s">
        <v>62</v>
      </c>
      <c r="C12" s="149"/>
      <c r="D12" s="149"/>
      <c r="E12" s="128"/>
      <c r="F12" s="129"/>
      <c r="G12" s="86">
        <v>16622.265441053773</v>
      </c>
      <c r="I12" s="161" t="s">
        <v>62</v>
      </c>
      <c r="J12" s="149"/>
      <c r="K12" s="149"/>
      <c r="L12" s="128"/>
      <c r="M12" s="129"/>
      <c r="N12" s="86">
        <v>14764.560728715023</v>
      </c>
      <c r="P12" s="161" t="s">
        <v>62</v>
      </c>
      <c r="Q12" s="149"/>
      <c r="R12" s="149"/>
      <c r="S12" s="128"/>
      <c r="T12" s="129"/>
      <c r="U12" s="86">
        <v>13446.172315499305</v>
      </c>
      <c r="W12" s="161" t="s">
        <v>62</v>
      </c>
      <c r="X12" s="149"/>
      <c r="Y12" s="149"/>
      <c r="Z12" s="128"/>
      <c r="AA12" s="129"/>
      <c r="AB12" s="86">
        <v>13089.412535913161</v>
      </c>
      <c r="AD12" s="161" t="s">
        <v>62</v>
      </c>
      <c r="AE12" s="149"/>
      <c r="AF12" s="149"/>
      <c r="AG12" s="128"/>
      <c r="AH12" s="129"/>
      <c r="AI12" s="86">
        <v>12904.086958711683</v>
      </c>
      <c r="AK12" s="161" t="s">
        <v>62</v>
      </c>
      <c r="AL12" s="149"/>
      <c r="AM12" s="149"/>
      <c r="AN12" s="128"/>
      <c r="AO12" s="129"/>
      <c r="AP12" s="86">
        <v>12904.086958711683</v>
      </c>
    </row>
    <row r="13" spans="2:42" x14ac:dyDescent="0.25">
      <c r="B13" s="160" t="s">
        <v>63</v>
      </c>
      <c r="C13" s="158"/>
      <c r="D13" s="158"/>
      <c r="E13" s="159"/>
      <c r="F13" s="159"/>
      <c r="G13" s="86">
        <v>808.66666666666663</v>
      </c>
      <c r="I13" s="160" t="s">
        <v>63</v>
      </c>
      <c r="J13" s="158"/>
      <c r="K13" s="158"/>
      <c r="L13" s="159"/>
      <c r="M13" s="159"/>
      <c r="N13" s="86">
        <v>1916.3333333333335</v>
      </c>
      <c r="P13" s="160" t="s">
        <v>63</v>
      </c>
      <c r="Q13" s="158"/>
      <c r="R13" s="158"/>
      <c r="S13" s="159"/>
      <c r="T13" s="159"/>
      <c r="U13" s="86">
        <v>2990.3333333333335</v>
      </c>
      <c r="W13" s="160" t="s">
        <v>63</v>
      </c>
      <c r="X13" s="158"/>
      <c r="Y13" s="158"/>
      <c r="Z13" s="159"/>
      <c r="AA13" s="159"/>
      <c r="AB13" s="86">
        <v>4350.3333333333339</v>
      </c>
      <c r="AD13" s="160" t="s">
        <v>63</v>
      </c>
      <c r="AE13" s="158"/>
      <c r="AF13" s="158"/>
      <c r="AG13" s="159"/>
      <c r="AH13" s="159"/>
      <c r="AI13" s="86">
        <v>5887.0000000000009</v>
      </c>
      <c r="AK13" s="160" t="s">
        <v>63</v>
      </c>
      <c r="AL13" s="158"/>
      <c r="AM13" s="158"/>
      <c r="AN13" s="159"/>
      <c r="AO13" s="159"/>
      <c r="AP13" s="86">
        <v>5887.0000000000009</v>
      </c>
    </row>
    <row r="14" spans="2:42" x14ac:dyDescent="0.25">
      <c r="B14" s="162" t="s">
        <v>64</v>
      </c>
      <c r="C14" s="149"/>
      <c r="D14" s="149"/>
      <c r="E14" s="128"/>
      <c r="F14" s="129"/>
      <c r="G14" s="86">
        <v>15813.598774387106</v>
      </c>
      <c r="I14" s="162" t="s">
        <v>64</v>
      </c>
      <c r="J14" s="149"/>
      <c r="K14" s="149"/>
      <c r="L14" s="128"/>
      <c r="M14" s="129"/>
      <c r="N14" s="86">
        <v>12848.227395381689</v>
      </c>
      <c r="P14" s="162" t="s">
        <v>64</v>
      </c>
      <c r="Q14" s="149"/>
      <c r="R14" s="149"/>
      <c r="S14" s="128"/>
      <c r="T14" s="129"/>
      <c r="U14" s="86">
        <v>10455.838982165971</v>
      </c>
      <c r="W14" s="162" t="s">
        <v>64</v>
      </c>
      <c r="X14" s="149"/>
      <c r="Y14" s="149"/>
      <c r="Z14" s="128"/>
      <c r="AA14" s="129"/>
      <c r="AB14" s="86">
        <v>8739.0792025798273</v>
      </c>
      <c r="AD14" s="162" t="s">
        <v>64</v>
      </c>
      <c r="AE14" s="149"/>
      <c r="AF14" s="149"/>
      <c r="AG14" s="128"/>
      <c r="AH14" s="129"/>
      <c r="AI14" s="86">
        <v>7017.0869587116822</v>
      </c>
      <c r="AK14" s="162" t="s">
        <v>64</v>
      </c>
      <c r="AL14" s="149"/>
      <c r="AM14" s="149"/>
      <c r="AN14" s="128"/>
      <c r="AO14" s="129"/>
      <c r="AP14" s="86">
        <v>7017.0869587116822</v>
      </c>
    </row>
    <row r="15" spans="2:42" x14ac:dyDescent="0.25">
      <c r="B15" s="158"/>
      <c r="C15" s="158"/>
      <c r="D15" s="158"/>
      <c r="E15" s="159"/>
      <c r="F15" s="159"/>
      <c r="G15" s="147"/>
      <c r="I15" s="158"/>
      <c r="J15" s="158"/>
      <c r="K15" s="158"/>
      <c r="L15" s="159"/>
      <c r="M15" s="159"/>
      <c r="N15" s="147"/>
      <c r="P15" s="158"/>
      <c r="Q15" s="158"/>
      <c r="R15" s="158"/>
      <c r="S15" s="159"/>
      <c r="T15" s="159"/>
      <c r="U15" s="147"/>
      <c r="W15" s="158"/>
      <c r="X15" s="158"/>
      <c r="Y15" s="158"/>
      <c r="Z15" s="159"/>
      <c r="AA15" s="159"/>
      <c r="AB15" s="147"/>
      <c r="AD15" s="158"/>
      <c r="AE15" s="158"/>
      <c r="AF15" s="158"/>
      <c r="AG15" s="159"/>
      <c r="AH15" s="159"/>
      <c r="AI15" s="147"/>
    </row>
    <row r="16" spans="2:42" x14ac:dyDescent="0.25">
      <c r="B16" s="158"/>
      <c r="C16" s="158"/>
      <c r="D16" s="158"/>
      <c r="E16" s="159"/>
      <c r="F16" s="159"/>
      <c r="G16" s="147"/>
      <c r="I16" s="158"/>
      <c r="J16" s="158"/>
      <c r="K16" s="158"/>
      <c r="L16" s="159"/>
      <c r="M16" s="159"/>
      <c r="N16" s="147"/>
      <c r="P16" s="158"/>
      <c r="Q16" s="158"/>
      <c r="R16" s="158"/>
      <c r="S16" s="159"/>
      <c r="T16" s="159"/>
      <c r="U16" s="147"/>
      <c r="W16" s="158"/>
      <c r="X16" s="158"/>
      <c r="Y16" s="158"/>
      <c r="Z16" s="159"/>
      <c r="AA16" s="159"/>
      <c r="AB16" s="147"/>
      <c r="AD16" s="158"/>
      <c r="AE16" s="158"/>
      <c r="AF16" s="158"/>
      <c r="AG16" s="159"/>
      <c r="AH16" s="159"/>
      <c r="AI16" s="147"/>
    </row>
    <row r="17" spans="2:35" x14ac:dyDescent="0.25">
      <c r="B17" s="158"/>
      <c r="C17" s="158"/>
      <c r="D17" s="158"/>
      <c r="E17" s="159"/>
      <c r="F17" s="159"/>
      <c r="G17" s="147"/>
      <c r="I17" s="158"/>
      <c r="J17" s="158"/>
      <c r="K17" s="158"/>
      <c r="L17" s="159"/>
      <c r="M17" s="159"/>
      <c r="N17" s="147"/>
      <c r="P17" s="158"/>
      <c r="Q17" s="158"/>
      <c r="R17" s="158"/>
      <c r="S17" s="159"/>
      <c r="T17" s="159"/>
      <c r="U17" s="147"/>
      <c r="W17" s="158"/>
      <c r="X17" s="158"/>
      <c r="Y17" s="158"/>
      <c r="Z17" s="159"/>
      <c r="AA17" s="159"/>
      <c r="AB17" s="147"/>
      <c r="AD17" s="158"/>
      <c r="AE17" s="158"/>
      <c r="AF17" s="158"/>
      <c r="AG17" s="159"/>
      <c r="AH17" s="159"/>
      <c r="AI17" s="147"/>
    </row>
    <row r="18" spans="2:35" x14ac:dyDescent="0.25">
      <c r="B18" s="158"/>
      <c r="C18" s="158"/>
      <c r="D18" s="158"/>
      <c r="E18" s="159"/>
      <c r="F18" s="159"/>
      <c r="G18" s="147"/>
      <c r="I18" s="158"/>
      <c r="J18" s="158"/>
      <c r="K18" s="158"/>
      <c r="L18" s="159"/>
      <c r="M18" s="159"/>
      <c r="N18" s="147"/>
      <c r="P18" s="158"/>
      <c r="Q18" s="158"/>
      <c r="R18" s="158"/>
      <c r="S18" s="159"/>
      <c r="T18" s="159"/>
      <c r="U18" s="147"/>
      <c r="W18" s="158"/>
      <c r="X18" s="158"/>
      <c r="Y18" s="158"/>
      <c r="Z18" s="159"/>
      <c r="AA18" s="159"/>
      <c r="AB18" s="147"/>
      <c r="AD18" s="158"/>
      <c r="AE18" s="158"/>
      <c r="AF18" s="158"/>
      <c r="AG18" s="159"/>
      <c r="AH18" s="159"/>
      <c r="AI18" s="147"/>
    </row>
    <row r="19" spans="2:35" x14ac:dyDescent="0.25">
      <c r="B19" s="158"/>
      <c r="C19" s="158"/>
      <c r="D19" s="158"/>
      <c r="E19" s="159"/>
      <c r="F19" s="159"/>
      <c r="G19" s="147"/>
      <c r="I19" s="158"/>
      <c r="J19" s="158"/>
      <c r="K19" s="158"/>
      <c r="L19" s="159"/>
      <c r="M19" s="159"/>
      <c r="N19" s="147"/>
      <c r="P19" s="158"/>
      <c r="Q19" s="158"/>
      <c r="R19" s="158"/>
      <c r="S19" s="159"/>
      <c r="T19" s="159"/>
      <c r="U19" s="147"/>
      <c r="W19" s="158"/>
      <c r="X19" s="158"/>
      <c r="Y19" s="158"/>
      <c r="Z19" s="159"/>
      <c r="AA19" s="159"/>
      <c r="AB19" s="147"/>
      <c r="AD19" s="158"/>
      <c r="AE19" s="158"/>
      <c r="AF19" s="158"/>
      <c r="AG19" s="159"/>
      <c r="AH19" s="159"/>
      <c r="AI19" s="147"/>
    </row>
    <row r="20" spans="2:35" x14ac:dyDescent="0.25">
      <c r="B20" s="158"/>
      <c r="C20" s="158"/>
      <c r="D20" s="158"/>
      <c r="E20" s="159"/>
      <c r="F20" s="159"/>
      <c r="G20" s="147"/>
      <c r="I20" s="158"/>
      <c r="J20" s="158"/>
      <c r="K20" s="158"/>
      <c r="L20" s="159"/>
      <c r="M20" s="159"/>
      <c r="N20" s="147"/>
      <c r="P20" s="158"/>
      <c r="Q20" s="158"/>
      <c r="R20" s="158"/>
      <c r="S20" s="159"/>
      <c r="T20" s="159"/>
      <c r="U20" s="147"/>
      <c r="W20" s="158"/>
      <c r="X20" s="158"/>
      <c r="Y20" s="158"/>
      <c r="Z20" s="159"/>
      <c r="AA20" s="159"/>
      <c r="AB20" s="147"/>
      <c r="AD20" s="158"/>
      <c r="AE20" s="158"/>
      <c r="AF20" s="158"/>
      <c r="AG20" s="159"/>
      <c r="AH20" s="159"/>
      <c r="AI20" s="147"/>
    </row>
    <row r="43" spans="6:10" ht="15.75" x14ac:dyDescent="0.25">
      <c r="F43" s="193" t="s">
        <v>104</v>
      </c>
      <c r="G43" s="193"/>
      <c r="H43" s="193"/>
      <c r="I43" s="194"/>
      <c r="J43" s="193">
        <f>G12-AP12</f>
        <v>3718.1784823420894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2"/>
  <dimension ref="B2:AP17"/>
  <sheetViews>
    <sheetView showGridLines="0" topLeftCell="Y2" zoomScale="110" zoomScaleNormal="110" workbookViewId="0">
      <selection activeCell="AP12" sqref="AP12"/>
    </sheetView>
  </sheetViews>
  <sheetFormatPr defaultRowHeight="15" x14ac:dyDescent="0.25"/>
  <cols>
    <col min="2" max="2" width="10.5703125" bestFit="1" customWidth="1"/>
    <col min="9" max="9" width="9" customWidth="1"/>
    <col min="10" max="10" width="10.5703125" bestFit="1" customWidth="1"/>
    <col min="18" max="18" width="10.5703125" bestFit="1" customWidth="1"/>
    <col min="26" max="26" width="10.5703125" bestFit="1" customWidth="1"/>
    <col min="34" max="34" width="10.5703125" bestFit="1" customWidth="1"/>
  </cols>
  <sheetData>
    <row r="2" spans="2:42" x14ac:dyDescent="0.25">
      <c r="B2" s="103"/>
      <c r="C2" s="103"/>
      <c r="D2" s="164" t="s">
        <v>98</v>
      </c>
      <c r="E2" s="163">
        <v>7000</v>
      </c>
      <c r="F2" s="103"/>
      <c r="G2" s="103"/>
      <c r="H2" s="103"/>
      <c r="J2" s="103"/>
      <c r="K2" s="103"/>
      <c r="L2" s="164" t="s">
        <v>98</v>
      </c>
      <c r="M2" s="163">
        <v>7000</v>
      </c>
      <c r="N2" s="103"/>
      <c r="O2" s="103"/>
      <c r="P2" s="103"/>
      <c r="R2" s="103"/>
      <c r="S2" s="103"/>
      <c r="T2" s="164" t="s">
        <v>98</v>
      </c>
      <c r="U2" s="163">
        <v>7000</v>
      </c>
      <c r="V2" s="103"/>
      <c r="W2" s="103"/>
      <c r="X2" s="103"/>
      <c r="Z2" s="103"/>
      <c r="AA2" s="103"/>
      <c r="AB2" s="164" t="s">
        <v>98</v>
      </c>
      <c r="AC2" s="163">
        <v>7000</v>
      </c>
      <c r="AD2" s="103"/>
      <c r="AE2" s="103"/>
      <c r="AH2" s="103"/>
      <c r="AI2" s="103"/>
      <c r="AJ2" s="164" t="s">
        <v>98</v>
      </c>
      <c r="AK2" s="163">
        <v>7000</v>
      </c>
      <c r="AL2" s="103"/>
      <c r="AM2" s="103"/>
    </row>
    <row r="4" spans="2:42" ht="75" x14ac:dyDescent="0.25">
      <c r="B4" s="86" t="s">
        <v>93</v>
      </c>
      <c r="C4" s="165" t="s">
        <v>94</v>
      </c>
      <c r="D4" s="165" t="s">
        <v>99</v>
      </c>
      <c r="E4" s="165" t="s">
        <v>95</v>
      </c>
      <c r="F4" s="165" t="s">
        <v>91</v>
      </c>
      <c r="G4" s="165" t="s">
        <v>92</v>
      </c>
      <c r="H4" s="173" t="s">
        <v>100</v>
      </c>
      <c r="J4" s="86" t="s">
        <v>93</v>
      </c>
      <c r="K4" s="165" t="s">
        <v>94</v>
      </c>
      <c r="L4" s="165" t="s">
        <v>99</v>
      </c>
      <c r="M4" s="165" t="s">
        <v>95</v>
      </c>
      <c r="N4" s="165" t="s">
        <v>91</v>
      </c>
      <c r="O4" s="165" t="s">
        <v>92</v>
      </c>
      <c r="P4" s="173" t="s">
        <v>100</v>
      </c>
      <c r="R4" s="86" t="s">
        <v>93</v>
      </c>
      <c r="S4" s="165" t="s">
        <v>94</v>
      </c>
      <c r="T4" s="165" t="s">
        <v>99</v>
      </c>
      <c r="U4" s="165" t="s">
        <v>95</v>
      </c>
      <c r="V4" s="165" t="s">
        <v>91</v>
      </c>
      <c r="W4" s="165" t="s">
        <v>92</v>
      </c>
      <c r="X4" s="173" t="s">
        <v>100</v>
      </c>
      <c r="Z4" s="86" t="s">
        <v>93</v>
      </c>
      <c r="AA4" s="165" t="s">
        <v>94</v>
      </c>
      <c r="AB4" s="165" t="s">
        <v>99</v>
      </c>
      <c r="AC4" s="165" t="s">
        <v>95</v>
      </c>
      <c r="AD4" s="165" t="s">
        <v>91</v>
      </c>
      <c r="AE4" s="165" t="s">
        <v>92</v>
      </c>
      <c r="AF4" s="173" t="s">
        <v>100</v>
      </c>
      <c r="AH4" s="86" t="s">
        <v>93</v>
      </c>
      <c r="AI4" s="165" t="s">
        <v>94</v>
      </c>
      <c r="AJ4" s="165" t="s">
        <v>99</v>
      </c>
      <c r="AK4" s="165" t="s">
        <v>95</v>
      </c>
      <c r="AL4" s="165" t="s">
        <v>91</v>
      </c>
      <c r="AM4" s="165" t="s">
        <v>92</v>
      </c>
      <c r="AN4" s="173" t="s">
        <v>100</v>
      </c>
    </row>
    <row r="5" spans="2:42" x14ac:dyDescent="0.25">
      <c r="B5" s="84" t="s">
        <v>29</v>
      </c>
      <c r="C5" s="84">
        <v>900</v>
      </c>
      <c r="D5" s="16">
        <v>0.19677322144290393</v>
      </c>
      <c r="E5" s="157" t="s">
        <v>97</v>
      </c>
      <c r="F5" s="165">
        <v>1074</v>
      </c>
      <c r="G5" s="165">
        <v>872.54524954657359</v>
      </c>
      <c r="H5" s="84">
        <f>SUM(F5:G5)</f>
        <v>1946.5452495465736</v>
      </c>
      <c r="J5" s="84" t="s">
        <v>29</v>
      </c>
      <c r="K5" s="84">
        <v>900</v>
      </c>
      <c r="L5" s="16">
        <v>0.19677322144290393</v>
      </c>
      <c r="M5" s="157" t="s">
        <v>97</v>
      </c>
      <c r="N5" s="173">
        <v>1074</v>
      </c>
      <c r="O5" s="173">
        <v>872.54524954657359</v>
      </c>
      <c r="P5" s="84">
        <f>SUM(N5:O5)</f>
        <v>1946.5452495465736</v>
      </c>
      <c r="R5" s="84" t="s">
        <v>29</v>
      </c>
      <c r="S5" s="84">
        <v>900</v>
      </c>
      <c r="T5" s="16">
        <v>0.19677322144290393</v>
      </c>
      <c r="U5" s="157" t="s">
        <v>97</v>
      </c>
      <c r="V5" s="173">
        <v>1074</v>
      </c>
      <c r="W5" s="173">
        <v>872.54524954657359</v>
      </c>
      <c r="X5" s="84">
        <f>SUM(V5:W5)</f>
        <v>1946.5452495465736</v>
      </c>
      <c r="Z5" s="84" t="s">
        <v>29</v>
      </c>
      <c r="AA5" s="84">
        <v>900</v>
      </c>
      <c r="AB5" s="16">
        <v>0.19677322144290393</v>
      </c>
      <c r="AC5" s="157" t="s">
        <v>97</v>
      </c>
      <c r="AD5" s="173">
        <v>1074</v>
      </c>
      <c r="AE5" s="173">
        <v>872.54524954657359</v>
      </c>
      <c r="AF5" s="84">
        <f>SUM(AD5:AE5)</f>
        <v>1946.5452495465736</v>
      </c>
      <c r="AH5" s="84" t="s">
        <v>29</v>
      </c>
      <c r="AI5" s="84">
        <v>900</v>
      </c>
      <c r="AJ5" s="16">
        <v>0.19677322144290393</v>
      </c>
      <c r="AK5" s="157" t="s">
        <v>97</v>
      </c>
      <c r="AL5" s="173">
        <v>1074</v>
      </c>
      <c r="AM5" s="173">
        <v>872.54524954657359</v>
      </c>
      <c r="AN5" s="84">
        <f>SUM(AL5:AM5)</f>
        <v>1946.5452495465736</v>
      </c>
    </row>
    <row r="6" spans="2:42" x14ac:dyDescent="0.25">
      <c r="B6" s="84" t="s">
        <v>30</v>
      </c>
      <c r="C6" s="84">
        <v>900</v>
      </c>
      <c r="D6" s="16">
        <v>0.29525185079093719</v>
      </c>
      <c r="E6" s="157" t="s">
        <v>97</v>
      </c>
      <c r="F6" s="165">
        <v>1360</v>
      </c>
      <c r="G6" s="165">
        <v>1155.2231661834958</v>
      </c>
      <c r="H6" s="84">
        <f>SUM(F6:G6)</f>
        <v>2515.2231661834958</v>
      </c>
      <c r="J6" s="84" t="s">
        <v>30</v>
      </c>
      <c r="K6" s="84">
        <v>900</v>
      </c>
      <c r="L6" s="16">
        <v>0.29525185079093719</v>
      </c>
      <c r="M6" s="157" t="s">
        <v>97</v>
      </c>
      <c r="N6" s="173">
        <v>1360</v>
      </c>
      <c r="O6" s="173">
        <v>1155.2231661834958</v>
      </c>
      <c r="P6" s="84">
        <f>SUM(N6:O6)</f>
        <v>2515.2231661834958</v>
      </c>
      <c r="R6" s="84" t="s">
        <v>30</v>
      </c>
      <c r="S6" s="84">
        <v>900</v>
      </c>
      <c r="T6" s="16">
        <v>0.29525185079093719</v>
      </c>
      <c r="U6" s="157" t="s">
        <v>97</v>
      </c>
      <c r="V6" s="173">
        <v>1360</v>
      </c>
      <c r="W6" s="173">
        <v>1155.2231661834958</v>
      </c>
      <c r="X6" s="84">
        <f>SUM(V6:W6)</f>
        <v>2515.2231661834958</v>
      </c>
      <c r="Z6" s="84" t="s">
        <v>30</v>
      </c>
      <c r="AA6" s="84">
        <v>900</v>
      </c>
      <c r="AB6" s="16">
        <v>0.29525185079093719</v>
      </c>
      <c r="AC6" s="157" t="s">
        <v>97</v>
      </c>
      <c r="AD6" s="173">
        <v>1360</v>
      </c>
      <c r="AE6" s="173">
        <v>1155.2231661834958</v>
      </c>
      <c r="AF6" s="84">
        <f t="shared" ref="AF6:AF10" si="0">SUM(AD6:AE6)</f>
        <v>2515.2231661834958</v>
      </c>
      <c r="AH6" s="84" t="s">
        <v>30</v>
      </c>
      <c r="AI6" s="84">
        <v>900</v>
      </c>
      <c r="AJ6" s="16">
        <v>0.29525185079093719</v>
      </c>
      <c r="AK6" s="157" t="s">
        <v>97</v>
      </c>
      <c r="AL6" s="173">
        <v>1360</v>
      </c>
      <c r="AM6" s="173">
        <v>1155.2231661834958</v>
      </c>
      <c r="AN6" s="84">
        <f t="shared" ref="AN6:AN10" si="1">SUM(AL6:AM6)</f>
        <v>2515.2231661834958</v>
      </c>
    </row>
    <row r="7" spans="2:42" x14ac:dyDescent="0.25">
      <c r="B7" s="84" t="s">
        <v>31</v>
      </c>
      <c r="C7" s="179">
        <v>900</v>
      </c>
      <c r="D7" s="180">
        <v>0.5042610928083997</v>
      </c>
      <c r="E7" s="84" t="s">
        <v>96</v>
      </c>
      <c r="F7" s="165">
        <v>0</v>
      </c>
      <c r="G7" s="165">
        <v>2033.9616541063369</v>
      </c>
      <c r="H7" s="84">
        <f t="shared" ref="H7:H10" si="2">SUM(F7:G7)</f>
        <v>2033.9616541063369</v>
      </c>
      <c r="J7" s="84" t="s">
        <v>31</v>
      </c>
      <c r="K7" s="179">
        <v>1080</v>
      </c>
      <c r="L7" s="180">
        <v>0.45689999999999997</v>
      </c>
      <c r="M7" s="84" t="s">
        <v>96</v>
      </c>
      <c r="N7" s="173">
        <v>0</v>
      </c>
      <c r="O7" s="173">
        <v>2228.2272316092594</v>
      </c>
      <c r="P7" s="84">
        <f t="shared" ref="P7:P10" si="3">SUM(N7:O7)</f>
        <v>2228.2272316092594</v>
      </c>
      <c r="R7" s="84" t="s">
        <v>31</v>
      </c>
      <c r="S7" s="179">
        <v>1440</v>
      </c>
      <c r="T7" s="180">
        <v>0.37959999999999999</v>
      </c>
      <c r="U7" s="84" t="s">
        <v>96</v>
      </c>
      <c r="V7" s="173">
        <v>0</v>
      </c>
      <c r="W7" s="173">
        <v>2545.2427648326529</v>
      </c>
      <c r="X7" s="84">
        <f t="shared" ref="X7:X10" si="4">SUM(V7:W7)</f>
        <v>2545.2427648326529</v>
      </c>
      <c r="Z7" s="84" t="s">
        <v>31</v>
      </c>
      <c r="AA7" s="179">
        <v>1800</v>
      </c>
      <c r="AB7" s="180">
        <v>0.31919999999999998</v>
      </c>
      <c r="AC7" s="157" t="s">
        <v>97</v>
      </c>
      <c r="AD7" s="173">
        <v>1500</v>
      </c>
      <c r="AE7" s="173">
        <v>1086.3248668222168</v>
      </c>
      <c r="AF7" s="84">
        <f t="shared" si="0"/>
        <v>2586.3248668222168</v>
      </c>
      <c r="AH7" s="84" t="s">
        <v>31</v>
      </c>
      <c r="AI7" s="179">
        <v>1800</v>
      </c>
      <c r="AJ7" s="180">
        <v>0.31919999999999998</v>
      </c>
      <c r="AK7" s="37" t="s">
        <v>96</v>
      </c>
      <c r="AL7" s="173">
        <v>0</v>
      </c>
      <c r="AM7" s="173">
        <v>2793.1755504221182</v>
      </c>
      <c r="AN7" s="84">
        <f t="shared" si="1"/>
        <v>2793.1755504221182</v>
      </c>
    </row>
    <row r="8" spans="2:42" x14ac:dyDescent="0.25">
      <c r="B8" s="84" t="s">
        <v>32</v>
      </c>
      <c r="C8" s="84">
        <v>900</v>
      </c>
      <c r="D8" s="16">
        <v>0.50696385388211596</v>
      </c>
      <c r="E8" s="157" t="s">
        <v>97</v>
      </c>
      <c r="F8" s="165">
        <v>1107.6666666666667</v>
      </c>
      <c r="G8" s="165">
        <v>878.39319792362244</v>
      </c>
      <c r="H8" s="84">
        <f t="shared" si="2"/>
        <v>1986.0598645902892</v>
      </c>
      <c r="J8" s="84" t="s">
        <v>32</v>
      </c>
      <c r="K8" s="84">
        <v>900</v>
      </c>
      <c r="L8" s="16">
        <v>0.50696385388211596</v>
      </c>
      <c r="M8" s="157" t="s">
        <v>97</v>
      </c>
      <c r="N8" s="173">
        <v>1107.6666666666667</v>
      </c>
      <c r="O8" s="173">
        <v>878.39319792362244</v>
      </c>
      <c r="P8" s="84">
        <f t="shared" si="3"/>
        <v>1986.0598645902892</v>
      </c>
      <c r="R8" s="84" t="s">
        <v>32</v>
      </c>
      <c r="S8" s="84">
        <v>900</v>
      </c>
      <c r="T8" s="16">
        <v>0.50696385388211596</v>
      </c>
      <c r="U8" s="157" t="s">
        <v>97</v>
      </c>
      <c r="V8" s="173">
        <v>1107.6666666666667</v>
      </c>
      <c r="W8" s="173">
        <v>878.39319792362244</v>
      </c>
      <c r="X8" s="84">
        <f t="shared" si="4"/>
        <v>1986.0598645902892</v>
      </c>
      <c r="Z8" s="84" t="s">
        <v>32</v>
      </c>
      <c r="AA8" s="84">
        <v>900</v>
      </c>
      <c r="AB8" s="16">
        <v>0.50696385388211596</v>
      </c>
      <c r="AC8" s="157" t="s">
        <v>97</v>
      </c>
      <c r="AD8" s="173">
        <v>1107.6666666666667</v>
      </c>
      <c r="AE8" s="173">
        <v>878.39319792362244</v>
      </c>
      <c r="AF8" s="84">
        <f t="shared" si="0"/>
        <v>1986.0598645902892</v>
      </c>
      <c r="AH8" s="84" t="s">
        <v>32</v>
      </c>
      <c r="AI8" s="84">
        <v>900</v>
      </c>
      <c r="AJ8" s="16">
        <v>0.50696385388211596</v>
      </c>
      <c r="AK8" s="157" t="s">
        <v>97</v>
      </c>
      <c r="AL8" s="173">
        <v>1107.6666666666667</v>
      </c>
      <c r="AM8" s="173">
        <v>878.39319792362244</v>
      </c>
      <c r="AN8" s="84">
        <f t="shared" si="1"/>
        <v>1986.0598645902892</v>
      </c>
    </row>
    <row r="9" spans="2:42" x14ac:dyDescent="0.25">
      <c r="B9" s="84" t="s">
        <v>33</v>
      </c>
      <c r="C9" s="84">
        <v>900</v>
      </c>
      <c r="D9" s="16">
        <v>0.29672416260157097</v>
      </c>
      <c r="E9" s="157" t="s">
        <v>97</v>
      </c>
      <c r="F9" s="165">
        <v>808.66666666666663</v>
      </c>
      <c r="G9" s="165">
        <v>900.19307186998947</v>
      </c>
      <c r="H9" s="84">
        <f t="shared" si="2"/>
        <v>1708.8597385366561</v>
      </c>
      <c r="J9" s="84" t="s">
        <v>33</v>
      </c>
      <c r="K9" s="84">
        <v>900</v>
      </c>
      <c r="L9" s="16">
        <v>0.29672416260157097</v>
      </c>
      <c r="M9" s="157" t="s">
        <v>97</v>
      </c>
      <c r="N9" s="173">
        <v>808.66666666666663</v>
      </c>
      <c r="O9" s="173">
        <v>900.19307186998947</v>
      </c>
      <c r="P9" s="84">
        <f t="shared" si="3"/>
        <v>1708.8597385366561</v>
      </c>
      <c r="R9" s="84" t="s">
        <v>33</v>
      </c>
      <c r="S9" s="84">
        <v>900</v>
      </c>
      <c r="T9" s="16">
        <v>0.29672416260157097</v>
      </c>
      <c r="U9" s="157" t="s">
        <v>97</v>
      </c>
      <c r="V9" s="173">
        <v>808.66666666666663</v>
      </c>
      <c r="W9" s="173">
        <v>900.19307186998947</v>
      </c>
      <c r="X9" s="84">
        <f t="shared" si="4"/>
        <v>1708.8597385366561</v>
      </c>
      <c r="Z9" s="84" t="s">
        <v>33</v>
      </c>
      <c r="AA9" s="84">
        <v>900</v>
      </c>
      <c r="AB9" s="16">
        <v>0.29672416260157097</v>
      </c>
      <c r="AC9" s="157" t="s">
        <v>97</v>
      </c>
      <c r="AD9" s="173">
        <v>808.66666666666663</v>
      </c>
      <c r="AE9" s="173">
        <v>900.19307186998947</v>
      </c>
      <c r="AF9" s="84">
        <f t="shared" si="0"/>
        <v>1708.8597385366561</v>
      </c>
      <c r="AH9" s="84" t="s">
        <v>33</v>
      </c>
      <c r="AI9" s="84">
        <v>900</v>
      </c>
      <c r="AJ9" s="16">
        <v>0.29672416260157097</v>
      </c>
      <c r="AK9" s="157" t="s">
        <v>97</v>
      </c>
      <c r="AL9" s="173">
        <v>808.66666666666663</v>
      </c>
      <c r="AM9" s="173">
        <v>900.19307186998947</v>
      </c>
      <c r="AN9" s="84">
        <f t="shared" si="1"/>
        <v>1708.8597385366561</v>
      </c>
    </row>
    <row r="10" spans="2:42" x14ac:dyDescent="0.25">
      <c r="B10" s="84" t="s">
        <v>23</v>
      </c>
      <c r="C10" s="84">
        <v>900</v>
      </c>
      <c r="D10" s="16">
        <v>0.44897423717846696</v>
      </c>
      <c r="E10" s="157" t="s">
        <v>97</v>
      </c>
      <c r="F10" s="165">
        <v>1536.6666666666667</v>
      </c>
      <c r="G10" s="165">
        <v>1176.7706190816664</v>
      </c>
      <c r="H10" s="84">
        <f t="shared" si="2"/>
        <v>2713.4372857483331</v>
      </c>
      <c r="J10" s="84" t="s">
        <v>23</v>
      </c>
      <c r="K10" s="84">
        <v>900</v>
      </c>
      <c r="L10" s="16">
        <v>0.44897423717846696</v>
      </c>
      <c r="M10" s="157" t="s">
        <v>97</v>
      </c>
      <c r="N10" s="173">
        <v>1536.6666666666667</v>
      </c>
      <c r="O10" s="173">
        <v>1176.7706190816664</v>
      </c>
      <c r="P10" s="84">
        <f t="shared" si="3"/>
        <v>2713.4372857483331</v>
      </c>
      <c r="R10" s="84" t="s">
        <v>23</v>
      </c>
      <c r="S10" s="84">
        <v>900</v>
      </c>
      <c r="T10" s="16">
        <v>0.44897423717846696</v>
      </c>
      <c r="U10" s="157" t="s">
        <v>97</v>
      </c>
      <c r="V10" s="173">
        <v>1536.6666666666667</v>
      </c>
      <c r="W10" s="173">
        <v>1176.7706190816664</v>
      </c>
      <c r="X10" s="84">
        <f t="shared" si="4"/>
        <v>2713.4372857483331</v>
      </c>
      <c r="Z10" s="84" t="s">
        <v>23</v>
      </c>
      <c r="AA10" s="84">
        <v>900</v>
      </c>
      <c r="AB10" s="16">
        <v>0.44897423717846696</v>
      </c>
      <c r="AC10" s="84" t="s">
        <v>96</v>
      </c>
      <c r="AD10" s="173">
        <v>0</v>
      </c>
      <c r="AE10" s="173">
        <v>2898.7628629498113</v>
      </c>
      <c r="AF10" s="84">
        <f t="shared" si="0"/>
        <v>2898.7628629498113</v>
      </c>
      <c r="AH10" s="84" t="s">
        <v>23</v>
      </c>
      <c r="AI10" s="84">
        <v>900</v>
      </c>
      <c r="AJ10" s="16">
        <v>0.44897423717846696</v>
      </c>
      <c r="AK10" s="157" t="s">
        <v>97</v>
      </c>
      <c r="AL10" s="173">
        <v>1536.6666666666667</v>
      </c>
      <c r="AM10" s="173">
        <v>1176.7706190816664</v>
      </c>
      <c r="AN10" s="84">
        <f t="shared" si="1"/>
        <v>2713.4372857483331</v>
      </c>
    </row>
    <row r="11" spans="2:42" x14ac:dyDescent="0.25">
      <c r="S11" s="174"/>
    </row>
    <row r="12" spans="2:42" x14ac:dyDescent="0.25">
      <c r="B12" s="161" t="s">
        <v>62</v>
      </c>
      <c r="C12" s="149"/>
      <c r="D12" s="149"/>
      <c r="E12" s="128"/>
      <c r="F12" s="128"/>
      <c r="G12" s="75">
        <v>12904.086958711683</v>
      </c>
      <c r="H12" s="75"/>
      <c r="J12" s="161" t="s">
        <v>62</v>
      </c>
      <c r="K12" s="149"/>
      <c r="L12" s="149"/>
      <c r="M12" s="128"/>
      <c r="N12" s="129"/>
      <c r="O12" s="181">
        <v>13098.352536214607</v>
      </c>
      <c r="P12" s="181"/>
      <c r="R12" s="161" t="s">
        <v>62</v>
      </c>
      <c r="S12" s="149"/>
      <c r="T12" s="149"/>
      <c r="U12" s="128"/>
      <c r="V12" s="129"/>
      <c r="W12" s="181">
        <v>13415.368069438</v>
      </c>
      <c r="X12" s="181"/>
      <c r="Z12" s="161" t="s">
        <v>62</v>
      </c>
      <c r="AA12" s="149"/>
      <c r="AB12" s="149"/>
      <c r="AC12" s="128"/>
      <c r="AD12" s="129"/>
      <c r="AE12" s="181">
        <v>13641.775748629043</v>
      </c>
      <c r="AF12" s="182"/>
      <c r="AH12" s="161" t="s">
        <v>62</v>
      </c>
      <c r="AI12" s="149"/>
      <c r="AJ12" s="149"/>
      <c r="AK12" s="128"/>
      <c r="AL12" s="129"/>
      <c r="AM12" s="181">
        <v>13663.300855027464</v>
      </c>
      <c r="AN12" s="72"/>
      <c r="AO12" s="176" t="s">
        <v>102</v>
      </c>
      <c r="AP12" s="176">
        <f>AM12-AE12</f>
        <v>21.525106398421485</v>
      </c>
    </row>
    <row r="13" spans="2:42" x14ac:dyDescent="0.25">
      <c r="B13" s="160" t="s">
        <v>63</v>
      </c>
      <c r="C13" s="158"/>
      <c r="D13" s="158"/>
      <c r="E13" s="159"/>
      <c r="F13" s="159"/>
      <c r="G13" s="75">
        <v>5887.0000000000009</v>
      </c>
      <c r="H13" s="75"/>
      <c r="J13" s="160" t="s">
        <v>63</v>
      </c>
      <c r="K13" s="158"/>
      <c r="L13" s="158"/>
      <c r="M13" s="159"/>
      <c r="N13" s="159"/>
      <c r="O13" s="181">
        <v>5887.0000000000009</v>
      </c>
      <c r="P13" s="181"/>
      <c r="R13" s="160" t="s">
        <v>63</v>
      </c>
      <c r="S13" s="158"/>
      <c r="T13" s="158"/>
      <c r="U13" s="159"/>
      <c r="V13" s="159"/>
      <c r="W13" s="181">
        <v>5887.0000000000009</v>
      </c>
      <c r="X13" s="181"/>
      <c r="Z13" s="160" t="s">
        <v>63</v>
      </c>
      <c r="AA13" s="158"/>
      <c r="AB13" s="158"/>
      <c r="AC13" s="159"/>
      <c r="AD13" s="159"/>
      <c r="AE13" s="181">
        <v>5850.3333333333339</v>
      </c>
      <c r="AF13" s="72"/>
      <c r="AH13" s="160" t="s">
        <v>63</v>
      </c>
      <c r="AI13" s="158"/>
      <c r="AJ13" s="158"/>
      <c r="AK13" s="159"/>
      <c r="AL13" s="159"/>
      <c r="AM13" s="181">
        <v>5887.0000000000009</v>
      </c>
      <c r="AN13" s="72"/>
    </row>
    <row r="14" spans="2:42" x14ac:dyDescent="0.25">
      <c r="B14" s="162" t="s">
        <v>64</v>
      </c>
      <c r="C14" s="149"/>
      <c r="D14" s="149"/>
      <c r="E14" s="128"/>
      <c r="F14" s="128"/>
      <c r="G14" s="75">
        <v>7017.0869587116822</v>
      </c>
      <c r="H14" s="75"/>
      <c r="J14" s="162" t="s">
        <v>64</v>
      </c>
      <c r="K14" s="149"/>
      <c r="L14" s="149"/>
      <c r="M14" s="128"/>
      <c r="N14" s="129"/>
      <c r="O14" s="181">
        <v>7211.3525362146056</v>
      </c>
      <c r="P14" s="181"/>
      <c r="R14" s="162" t="s">
        <v>64</v>
      </c>
      <c r="S14" s="149"/>
      <c r="T14" s="149"/>
      <c r="U14" s="128"/>
      <c r="V14" s="129"/>
      <c r="W14" s="181">
        <v>7528.3680694379973</v>
      </c>
      <c r="X14" s="181"/>
      <c r="Z14" s="162" t="s">
        <v>64</v>
      </c>
      <c r="AA14" s="149"/>
      <c r="AB14" s="149"/>
      <c r="AC14" s="128"/>
      <c r="AD14" s="129"/>
      <c r="AE14" s="181">
        <v>7791.442415295709</v>
      </c>
      <c r="AF14" s="72"/>
      <c r="AH14" s="162" t="s">
        <v>64</v>
      </c>
      <c r="AI14" s="149"/>
      <c r="AJ14" s="149"/>
      <c r="AK14" s="128"/>
      <c r="AL14" s="129"/>
      <c r="AM14" s="181">
        <v>7776.3008550274635</v>
      </c>
      <c r="AN14" s="72"/>
    </row>
    <row r="15" spans="2:42" x14ac:dyDescent="0.25">
      <c r="B15" s="158"/>
      <c r="C15" s="158"/>
      <c r="D15" s="158"/>
      <c r="E15" s="159"/>
      <c r="F15" s="159"/>
      <c r="G15" s="147"/>
      <c r="H15" s="147"/>
      <c r="J15" s="158"/>
      <c r="K15" s="158"/>
      <c r="L15" s="158"/>
      <c r="M15" s="159"/>
      <c r="N15" s="159"/>
      <c r="O15" s="147"/>
      <c r="P15" s="147"/>
      <c r="R15" s="158"/>
      <c r="S15" s="158"/>
      <c r="T15" s="158"/>
      <c r="U15" s="159"/>
      <c r="V15" s="159"/>
      <c r="W15" s="147"/>
      <c r="X15" s="147"/>
      <c r="Z15" s="158"/>
      <c r="AA15" s="158"/>
      <c r="AB15" s="158"/>
      <c r="AC15" s="159"/>
      <c r="AD15" s="159"/>
      <c r="AE15" s="147"/>
    </row>
    <row r="16" spans="2:42" x14ac:dyDescent="0.25">
      <c r="AH16" s="248" t="s">
        <v>101</v>
      </c>
      <c r="AI16" s="248"/>
      <c r="AJ16" s="248"/>
      <c r="AK16" s="248"/>
      <c r="AL16" s="248"/>
      <c r="AM16" s="248"/>
      <c r="AN16" s="248"/>
    </row>
    <row r="17" spans="34:40" x14ac:dyDescent="0.25">
      <c r="AH17" s="248"/>
      <c r="AI17" s="248"/>
      <c r="AJ17" s="248"/>
      <c r="AK17" s="248"/>
      <c r="AL17" s="248"/>
      <c r="AM17" s="248"/>
      <c r="AN17" s="248"/>
    </row>
  </sheetData>
  <mergeCells count="1">
    <mergeCell ref="AH16:AN17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3"/>
  <dimension ref="B2:AF16"/>
  <sheetViews>
    <sheetView showGridLines="0" zoomScale="80" zoomScaleNormal="80" workbookViewId="0">
      <selection activeCell="E3" sqref="E3"/>
    </sheetView>
  </sheetViews>
  <sheetFormatPr defaultRowHeight="15" x14ac:dyDescent="0.25"/>
  <cols>
    <col min="2" max="2" width="10.5703125" bestFit="1" customWidth="1"/>
    <col min="9" max="9" width="9" customWidth="1"/>
    <col min="10" max="10" width="10.5703125" bestFit="1" customWidth="1"/>
    <col min="18" max="18" width="10.5703125" bestFit="1" customWidth="1"/>
    <col min="26" max="26" width="10.5703125" bestFit="1" customWidth="1"/>
  </cols>
  <sheetData>
    <row r="2" spans="2:32" x14ac:dyDescent="0.25">
      <c r="B2" s="103"/>
      <c r="C2" s="103"/>
      <c r="D2" s="164" t="s">
        <v>98</v>
      </c>
      <c r="E2" s="163">
        <v>7500</v>
      </c>
      <c r="F2" s="103"/>
      <c r="G2" s="103"/>
      <c r="H2" s="103"/>
      <c r="J2" s="103"/>
      <c r="K2" s="103"/>
      <c r="L2" s="164" t="s">
        <v>98</v>
      </c>
      <c r="M2" s="163">
        <v>7500</v>
      </c>
      <c r="N2" s="103"/>
      <c r="O2" s="103"/>
      <c r="P2" s="103"/>
      <c r="R2" s="103"/>
      <c r="S2" s="103"/>
      <c r="T2" s="164" t="s">
        <v>98</v>
      </c>
      <c r="U2" s="163">
        <v>7500</v>
      </c>
      <c r="V2" s="103"/>
      <c r="W2" s="103"/>
      <c r="X2" s="103"/>
      <c r="Z2" s="103"/>
      <c r="AA2" s="103"/>
      <c r="AB2" s="164" t="s">
        <v>98</v>
      </c>
      <c r="AC2" s="163">
        <v>7500</v>
      </c>
      <c r="AD2" s="103"/>
      <c r="AE2" s="103"/>
      <c r="AF2" s="103"/>
    </row>
    <row r="3" spans="2:32" x14ac:dyDescent="0.25">
      <c r="B3" s="103"/>
      <c r="C3" s="103"/>
      <c r="D3" s="164" t="s">
        <v>103</v>
      </c>
      <c r="E3" s="178">
        <v>0.7</v>
      </c>
      <c r="F3" s="103"/>
      <c r="G3" s="103"/>
      <c r="H3" s="103"/>
      <c r="J3" s="103"/>
      <c r="K3" s="103"/>
      <c r="L3" s="164" t="s">
        <v>103</v>
      </c>
      <c r="M3" s="178">
        <v>0.75</v>
      </c>
      <c r="N3" s="103"/>
      <c r="O3" s="103"/>
      <c r="P3" s="103"/>
      <c r="R3" s="103"/>
      <c r="S3" s="103"/>
      <c r="T3" s="164" t="s">
        <v>103</v>
      </c>
      <c r="U3" s="178">
        <v>0.8</v>
      </c>
      <c r="V3" s="103"/>
      <c r="W3" s="103"/>
      <c r="X3" s="103"/>
      <c r="Z3" s="103"/>
      <c r="AA3" s="103"/>
      <c r="AB3" s="164" t="s">
        <v>103</v>
      </c>
      <c r="AC3" s="178">
        <v>0.85</v>
      </c>
      <c r="AD3" s="103"/>
      <c r="AE3" s="103"/>
      <c r="AF3" s="103"/>
    </row>
    <row r="4" spans="2:32" x14ac:dyDescent="0.25">
      <c r="N4" s="174"/>
    </row>
    <row r="5" spans="2:32" ht="75" x14ac:dyDescent="0.25">
      <c r="B5" s="86" t="s">
        <v>93</v>
      </c>
      <c r="C5" s="165" t="s">
        <v>94</v>
      </c>
      <c r="D5" s="165" t="s">
        <v>99</v>
      </c>
      <c r="E5" s="165" t="s">
        <v>95</v>
      </c>
      <c r="F5" s="165" t="s">
        <v>91</v>
      </c>
      <c r="G5" s="165" t="s">
        <v>92</v>
      </c>
      <c r="H5" s="173" t="s">
        <v>100</v>
      </c>
      <c r="J5" s="86" t="s">
        <v>93</v>
      </c>
      <c r="K5" s="165" t="s">
        <v>94</v>
      </c>
      <c r="L5" s="165" t="s">
        <v>99</v>
      </c>
      <c r="M5" s="165" t="s">
        <v>95</v>
      </c>
      <c r="N5" s="165" t="s">
        <v>91</v>
      </c>
      <c r="O5" s="165" t="s">
        <v>92</v>
      </c>
      <c r="P5" s="173" t="s">
        <v>100</v>
      </c>
      <c r="R5" s="86" t="s">
        <v>93</v>
      </c>
      <c r="S5" s="165" t="s">
        <v>94</v>
      </c>
      <c r="T5" s="165" t="s">
        <v>99</v>
      </c>
      <c r="U5" s="165" t="s">
        <v>95</v>
      </c>
      <c r="V5" s="165" t="s">
        <v>91</v>
      </c>
      <c r="W5" s="165" t="s">
        <v>92</v>
      </c>
      <c r="X5" s="173" t="s">
        <v>100</v>
      </c>
      <c r="Z5" s="86" t="s">
        <v>93</v>
      </c>
      <c r="AA5" s="165" t="s">
        <v>94</v>
      </c>
      <c r="AB5" s="165" t="s">
        <v>99</v>
      </c>
      <c r="AC5" s="165" t="s">
        <v>95</v>
      </c>
      <c r="AD5" s="165" t="s">
        <v>91</v>
      </c>
      <c r="AE5" s="165" t="s">
        <v>92</v>
      </c>
      <c r="AF5" s="173" t="s">
        <v>100</v>
      </c>
    </row>
    <row r="6" spans="2:32" x14ac:dyDescent="0.25">
      <c r="B6" s="84" t="s">
        <v>29</v>
      </c>
      <c r="C6" s="84">
        <v>900</v>
      </c>
      <c r="D6" s="16">
        <v>0.19677322144290393</v>
      </c>
      <c r="E6" s="157" t="s">
        <v>97</v>
      </c>
      <c r="F6" s="165">
        <v>1074</v>
      </c>
      <c r="G6" s="165">
        <v>872.54524954657359</v>
      </c>
      <c r="H6" s="84">
        <f>SUM(F6:G6)</f>
        <v>1946.5452495465736</v>
      </c>
      <c r="J6" s="84" t="s">
        <v>29</v>
      </c>
      <c r="K6" s="84">
        <v>900</v>
      </c>
      <c r="L6" s="16">
        <v>0.19677322144290393</v>
      </c>
      <c r="M6" s="157" t="s">
        <v>97</v>
      </c>
      <c r="N6" s="173">
        <v>1074</v>
      </c>
      <c r="O6" s="173">
        <v>727.12104128881128</v>
      </c>
      <c r="P6" s="84">
        <f>SUM(N6:O6)</f>
        <v>1801.1210412888113</v>
      </c>
      <c r="R6" s="84" t="s">
        <v>29</v>
      </c>
      <c r="S6" s="84">
        <v>900</v>
      </c>
      <c r="T6" s="16">
        <v>0.19677322144290393</v>
      </c>
      <c r="U6" s="157" t="s">
        <v>97</v>
      </c>
      <c r="V6" s="173">
        <v>1074</v>
      </c>
      <c r="W6" s="173">
        <v>581.69683303104875</v>
      </c>
      <c r="X6" s="84">
        <f>SUM(V6:W6)</f>
        <v>1655.6968330310488</v>
      </c>
      <c r="Z6" s="84" t="s">
        <v>29</v>
      </c>
      <c r="AA6" s="84">
        <v>900</v>
      </c>
      <c r="AB6" s="16">
        <v>0.19677322144290393</v>
      </c>
      <c r="AC6" s="157" t="s">
        <v>97</v>
      </c>
      <c r="AD6" s="173">
        <v>1074</v>
      </c>
      <c r="AE6" s="173">
        <v>436.27262477328668</v>
      </c>
      <c r="AF6" s="84">
        <f>SUM(AD6:AE6)</f>
        <v>1510.2726247732867</v>
      </c>
    </row>
    <row r="7" spans="2:32" x14ac:dyDescent="0.25">
      <c r="B7" s="84" t="s">
        <v>30</v>
      </c>
      <c r="C7" s="84">
        <v>900</v>
      </c>
      <c r="D7" s="16">
        <v>0.29525185079093719</v>
      </c>
      <c r="E7" s="157" t="s">
        <v>97</v>
      </c>
      <c r="F7" s="165">
        <v>1360</v>
      </c>
      <c r="G7" s="165">
        <v>1155.2231661834958</v>
      </c>
      <c r="H7" s="84">
        <f>SUM(F7:G7)</f>
        <v>2515.2231661834958</v>
      </c>
      <c r="J7" s="84" t="s">
        <v>30</v>
      </c>
      <c r="K7" s="84">
        <v>900</v>
      </c>
      <c r="L7" s="16">
        <v>0.29525185079093719</v>
      </c>
      <c r="M7" s="157" t="s">
        <v>97</v>
      </c>
      <c r="N7" s="173">
        <v>1360</v>
      </c>
      <c r="O7" s="173">
        <v>962.68597181957966</v>
      </c>
      <c r="P7" s="84">
        <f>SUM(N7:O7)</f>
        <v>2322.6859718195797</v>
      </c>
      <c r="R7" s="84" t="s">
        <v>30</v>
      </c>
      <c r="S7" s="84">
        <v>900</v>
      </c>
      <c r="T7" s="16">
        <v>0.29525185079093719</v>
      </c>
      <c r="U7" s="157" t="s">
        <v>97</v>
      </c>
      <c r="V7" s="173">
        <v>1360</v>
      </c>
      <c r="W7" s="173">
        <v>770.14877745566355</v>
      </c>
      <c r="X7" s="84">
        <f>SUM(V7:W7)</f>
        <v>2130.1487774556635</v>
      </c>
      <c r="Z7" s="84" t="s">
        <v>30</v>
      </c>
      <c r="AA7" s="84">
        <v>900</v>
      </c>
      <c r="AB7" s="16">
        <v>0.29525185079093719</v>
      </c>
      <c r="AC7" s="157" t="s">
        <v>97</v>
      </c>
      <c r="AD7" s="173">
        <v>1360</v>
      </c>
      <c r="AE7" s="173">
        <v>577.61158309174789</v>
      </c>
      <c r="AF7" s="84">
        <f>SUM(AD7:AE7)</f>
        <v>1937.6115830917479</v>
      </c>
    </row>
    <row r="8" spans="2:32" x14ac:dyDescent="0.25">
      <c r="B8" s="84" t="s">
        <v>31</v>
      </c>
      <c r="C8" s="177">
        <v>900</v>
      </c>
      <c r="D8" s="172">
        <v>0.5042610928083997</v>
      </c>
      <c r="E8" s="84" t="s">
        <v>96</v>
      </c>
      <c r="F8" s="165">
        <v>0</v>
      </c>
      <c r="G8" s="165">
        <v>2033.9616541063369</v>
      </c>
      <c r="H8" s="84">
        <f t="shared" ref="H8:H11" si="0">SUM(F8:G8)</f>
        <v>2033.9616541063369</v>
      </c>
      <c r="J8" s="84" t="s">
        <v>31</v>
      </c>
      <c r="K8" s="37">
        <v>900</v>
      </c>
      <c r="L8" s="172">
        <v>0.5042610928083997</v>
      </c>
      <c r="M8" s="84" t="s">
        <v>96</v>
      </c>
      <c r="N8" s="173">
        <v>0</v>
      </c>
      <c r="O8" s="173">
        <v>2033.9616541063369</v>
      </c>
      <c r="P8" s="84">
        <f t="shared" ref="P8:P11" si="1">SUM(N8:O8)</f>
        <v>2033.9616541063369</v>
      </c>
      <c r="R8" s="84" t="s">
        <v>31</v>
      </c>
      <c r="S8" s="37">
        <v>900</v>
      </c>
      <c r="T8" s="172">
        <v>0.5042610928083997</v>
      </c>
      <c r="U8" s="31" t="s">
        <v>97</v>
      </c>
      <c r="V8" s="173">
        <v>1500</v>
      </c>
      <c r="W8" s="173">
        <v>659.93238582735148</v>
      </c>
      <c r="X8" s="84">
        <f t="shared" ref="X8:X11" si="2">SUM(V8:W8)</f>
        <v>2159.9323858273515</v>
      </c>
      <c r="Z8" s="84" t="s">
        <v>31</v>
      </c>
      <c r="AA8" s="37">
        <v>900</v>
      </c>
      <c r="AB8" s="172">
        <v>0.5042610928083997</v>
      </c>
      <c r="AC8" s="31" t="s">
        <v>97</v>
      </c>
      <c r="AD8" s="173">
        <v>1500</v>
      </c>
      <c r="AE8" s="173">
        <v>395.52528710281831</v>
      </c>
      <c r="AF8" s="84">
        <f t="shared" ref="AF8:AF11" si="3">SUM(AD8:AE8)</f>
        <v>1895.5252871028183</v>
      </c>
    </row>
    <row r="9" spans="2:32" x14ac:dyDescent="0.25">
      <c r="B9" s="84" t="s">
        <v>32</v>
      </c>
      <c r="C9" s="84">
        <v>900</v>
      </c>
      <c r="D9" s="16">
        <v>0.50696385388211596</v>
      </c>
      <c r="E9" s="157" t="s">
        <v>97</v>
      </c>
      <c r="F9" s="165">
        <v>1107.6666666666667</v>
      </c>
      <c r="G9" s="165">
        <v>878.39319792362244</v>
      </c>
      <c r="H9" s="84">
        <f t="shared" si="0"/>
        <v>1986.0598645902892</v>
      </c>
      <c r="J9" s="84" t="s">
        <v>32</v>
      </c>
      <c r="K9" s="84">
        <v>900</v>
      </c>
      <c r="L9" s="16">
        <v>0.50696385388211596</v>
      </c>
      <c r="M9" s="157" t="s">
        <v>97</v>
      </c>
      <c r="N9" s="173">
        <v>1107.6666666666667</v>
      </c>
      <c r="O9" s="173">
        <v>731.99433160301851</v>
      </c>
      <c r="P9" s="84">
        <f t="shared" si="1"/>
        <v>1839.6609982696853</v>
      </c>
      <c r="R9" s="84" t="s">
        <v>32</v>
      </c>
      <c r="S9" s="84">
        <v>900</v>
      </c>
      <c r="T9" s="16">
        <v>0.50696385388211596</v>
      </c>
      <c r="U9" s="157" t="s">
        <v>97</v>
      </c>
      <c r="V9" s="173">
        <v>1107.6666666666667</v>
      </c>
      <c r="W9" s="173">
        <v>585.59546528241458</v>
      </c>
      <c r="X9" s="84">
        <f t="shared" si="2"/>
        <v>1693.2621319490813</v>
      </c>
      <c r="Z9" s="84" t="s">
        <v>32</v>
      </c>
      <c r="AA9" s="84">
        <v>900</v>
      </c>
      <c r="AB9" s="16">
        <v>0.50696385388211596</v>
      </c>
      <c r="AC9" s="157" t="s">
        <v>97</v>
      </c>
      <c r="AD9" s="173">
        <v>1107.6666666666667</v>
      </c>
      <c r="AE9" s="173">
        <v>439.19659896181133</v>
      </c>
      <c r="AF9" s="84">
        <f t="shared" si="3"/>
        <v>1546.8632656284781</v>
      </c>
    </row>
    <row r="10" spans="2:32" x14ac:dyDescent="0.25">
      <c r="B10" s="84" t="s">
        <v>33</v>
      </c>
      <c r="C10" s="84">
        <v>900</v>
      </c>
      <c r="D10" s="16">
        <v>0.29672416260157097</v>
      </c>
      <c r="E10" s="157" t="s">
        <v>97</v>
      </c>
      <c r="F10" s="165">
        <v>808.66666666666663</v>
      </c>
      <c r="G10" s="165">
        <v>900.19307186998947</v>
      </c>
      <c r="H10" s="84">
        <f t="shared" si="0"/>
        <v>1708.8597385366561</v>
      </c>
      <c r="J10" s="84" t="s">
        <v>33</v>
      </c>
      <c r="K10" s="84">
        <v>900</v>
      </c>
      <c r="L10" s="16">
        <v>0.29672416260157097</v>
      </c>
      <c r="M10" s="157" t="s">
        <v>97</v>
      </c>
      <c r="N10" s="173">
        <v>808.66666666666663</v>
      </c>
      <c r="O10" s="173">
        <v>750.1608932249909</v>
      </c>
      <c r="P10" s="84">
        <f t="shared" si="1"/>
        <v>1558.8275598916575</v>
      </c>
      <c r="R10" s="84" t="s">
        <v>33</v>
      </c>
      <c r="S10" s="84">
        <v>900</v>
      </c>
      <c r="T10" s="16">
        <v>0.29672416260157097</v>
      </c>
      <c r="U10" s="157" t="s">
        <v>97</v>
      </c>
      <c r="V10" s="173">
        <v>808.66666666666663</v>
      </c>
      <c r="W10" s="173">
        <v>600.12871457999279</v>
      </c>
      <c r="X10" s="84">
        <f t="shared" si="2"/>
        <v>1408.7953812466594</v>
      </c>
      <c r="Z10" s="84" t="s">
        <v>33</v>
      </c>
      <c r="AA10" s="84">
        <v>900</v>
      </c>
      <c r="AB10" s="16">
        <v>0.29672416260157097</v>
      </c>
      <c r="AC10" s="157" t="s">
        <v>97</v>
      </c>
      <c r="AD10" s="173">
        <v>808.66666666666663</v>
      </c>
      <c r="AE10" s="173">
        <v>450.09653593499468</v>
      </c>
      <c r="AF10" s="84">
        <f t="shared" si="3"/>
        <v>1258.7632026016613</v>
      </c>
    </row>
    <row r="11" spans="2:32" x14ac:dyDescent="0.25">
      <c r="B11" s="84" t="s">
        <v>23</v>
      </c>
      <c r="C11" s="84">
        <v>900</v>
      </c>
      <c r="D11" s="16">
        <v>0.44897423717846696</v>
      </c>
      <c r="E11" s="157" t="s">
        <v>97</v>
      </c>
      <c r="F11" s="165">
        <v>1536.6666666666667</v>
      </c>
      <c r="G11" s="165">
        <v>1176.7706190816664</v>
      </c>
      <c r="H11" s="84">
        <f t="shared" si="0"/>
        <v>2713.4372857483331</v>
      </c>
      <c r="J11" s="84" t="s">
        <v>23</v>
      </c>
      <c r="K11" s="84">
        <v>900</v>
      </c>
      <c r="L11" s="16">
        <v>0.44897423717846696</v>
      </c>
      <c r="M11" s="157" t="s">
        <v>97</v>
      </c>
      <c r="N11" s="173">
        <v>1536.6666666666667</v>
      </c>
      <c r="O11" s="173">
        <v>980.64218256805475</v>
      </c>
      <c r="P11" s="84">
        <f t="shared" si="1"/>
        <v>2517.3088492347215</v>
      </c>
      <c r="R11" s="84" t="s">
        <v>23</v>
      </c>
      <c r="S11" s="84">
        <v>900</v>
      </c>
      <c r="T11" s="16">
        <v>0.44897423717846696</v>
      </c>
      <c r="U11" s="157" t="s">
        <v>97</v>
      </c>
      <c r="V11" s="173">
        <v>1536.6666666666667</v>
      </c>
      <c r="W11" s="173">
        <v>784.51374605444403</v>
      </c>
      <c r="X11" s="84">
        <f t="shared" si="2"/>
        <v>2321.1804127211108</v>
      </c>
      <c r="Z11" s="84" t="s">
        <v>23</v>
      </c>
      <c r="AA11" s="84">
        <v>900</v>
      </c>
      <c r="AB11" s="16">
        <v>0.44897423717846696</v>
      </c>
      <c r="AC11" s="157" t="s">
        <v>97</v>
      </c>
      <c r="AD11" s="173">
        <v>1536.6666666666667</v>
      </c>
      <c r="AE11" s="173">
        <v>588.3853095408333</v>
      </c>
      <c r="AF11" s="84">
        <f t="shared" si="3"/>
        <v>2125.0519762075</v>
      </c>
    </row>
    <row r="12" spans="2:32" x14ac:dyDescent="0.25">
      <c r="S12" s="174"/>
      <c r="AA12" s="174"/>
    </row>
    <row r="13" spans="2:32" x14ac:dyDescent="0.25">
      <c r="B13" s="161" t="s">
        <v>62</v>
      </c>
      <c r="C13" s="149"/>
      <c r="D13" s="149"/>
      <c r="E13" s="128"/>
      <c r="F13" s="129"/>
      <c r="G13" s="86">
        <v>12904.086958711683</v>
      </c>
      <c r="H13" s="147"/>
      <c r="J13" s="161" t="s">
        <v>62</v>
      </c>
      <c r="K13" s="149"/>
      <c r="L13" s="149"/>
      <c r="M13" s="128"/>
      <c r="N13" s="129"/>
      <c r="O13" s="89">
        <v>12073.566074610793</v>
      </c>
      <c r="P13" s="175"/>
      <c r="R13" s="161" t="s">
        <v>62</v>
      </c>
      <c r="S13" s="149"/>
      <c r="T13" s="149"/>
      <c r="U13" s="128"/>
      <c r="V13" s="129"/>
      <c r="W13" s="89">
        <v>11243.0451905099</v>
      </c>
      <c r="X13" s="175"/>
      <c r="Z13" s="161" t="s">
        <v>62</v>
      </c>
      <c r="AA13" s="149"/>
      <c r="AB13" s="149"/>
      <c r="AC13" s="128"/>
      <c r="AD13" s="129"/>
      <c r="AE13" s="89">
        <v>10274.087939405492</v>
      </c>
      <c r="AF13" s="175"/>
    </row>
    <row r="14" spans="2:32" x14ac:dyDescent="0.25">
      <c r="B14" s="160" t="s">
        <v>63</v>
      </c>
      <c r="C14" s="158"/>
      <c r="D14" s="158"/>
      <c r="E14" s="159"/>
      <c r="F14" s="159"/>
      <c r="G14" s="86">
        <v>5887.0000000000009</v>
      </c>
      <c r="H14" s="147"/>
      <c r="J14" s="160" t="s">
        <v>63</v>
      </c>
      <c r="K14" s="158"/>
      <c r="L14" s="158"/>
      <c r="M14" s="159"/>
      <c r="N14" s="159"/>
      <c r="O14" s="89">
        <v>5887.0000000000009</v>
      </c>
      <c r="P14" s="175"/>
      <c r="R14" s="160" t="s">
        <v>63</v>
      </c>
      <c r="S14" s="158"/>
      <c r="T14" s="158"/>
      <c r="U14" s="159"/>
      <c r="V14" s="159"/>
      <c r="W14" s="89">
        <v>5887.0000000000009</v>
      </c>
      <c r="X14" s="175"/>
      <c r="Z14" s="160" t="s">
        <v>63</v>
      </c>
      <c r="AA14" s="158"/>
      <c r="AB14" s="158"/>
      <c r="AC14" s="159"/>
      <c r="AD14" s="159"/>
      <c r="AE14" s="89">
        <v>7387.0000000000009</v>
      </c>
      <c r="AF14" s="175"/>
    </row>
    <row r="15" spans="2:32" x14ac:dyDescent="0.25">
      <c r="B15" s="162" t="s">
        <v>64</v>
      </c>
      <c r="C15" s="149"/>
      <c r="D15" s="149"/>
      <c r="E15" s="128"/>
      <c r="F15" s="129"/>
      <c r="G15" s="86">
        <v>7017.0869587116822</v>
      </c>
      <c r="H15" s="147"/>
      <c r="J15" s="162" t="s">
        <v>64</v>
      </c>
      <c r="K15" s="149"/>
      <c r="L15" s="149"/>
      <c r="M15" s="128"/>
      <c r="N15" s="129"/>
      <c r="O15" s="89">
        <v>6186.5660746107924</v>
      </c>
      <c r="P15" s="175"/>
      <c r="R15" s="162" t="s">
        <v>64</v>
      </c>
      <c r="S15" s="149"/>
      <c r="T15" s="149"/>
      <c r="U15" s="128"/>
      <c r="V15" s="129"/>
      <c r="W15" s="89">
        <v>5356.0451905098989</v>
      </c>
      <c r="X15" s="175"/>
      <c r="Z15" s="162" t="s">
        <v>64</v>
      </c>
      <c r="AA15" s="149"/>
      <c r="AB15" s="149"/>
      <c r="AC15" s="128"/>
      <c r="AD15" s="129"/>
      <c r="AE15" s="89">
        <v>2887.0879394054909</v>
      </c>
      <c r="AF15" s="175"/>
    </row>
    <row r="16" spans="2:32" x14ac:dyDescent="0.25">
      <c r="B16" s="158"/>
      <c r="C16" s="158"/>
      <c r="D16" s="158"/>
      <c r="E16" s="159"/>
      <c r="F16" s="159"/>
      <c r="G16" s="147"/>
      <c r="H16" s="147"/>
      <c r="J16" s="158"/>
      <c r="K16" s="158"/>
      <c r="L16" s="158"/>
      <c r="M16" s="159"/>
      <c r="N16" s="159"/>
      <c r="O16" s="147"/>
      <c r="P16" s="147"/>
      <c r="R16" s="158"/>
      <c r="S16" s="158"/>
      <c r="T16" s="158"/>
      <c r="U16" s="159"/>
      <c r="V16" s="159"/>
      <c r="W16" s="147"/>
      <c r="X16" s="147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4"/>
  <dimension ref="B5:BT41"/>
  <sheetViews>
    <sheetView showGridLines="0" topLeftCell="A16" zoomScale="90" zoomScaleNormal="90" workbookViewId="0">
      <selection activeCell="U24" sqref="U24"/>
    </sheetView>
  </sheetViews>
  <sheetFormatPr defaultRowHeight="15" x14ac:dyDescent="0.25"/>
  <cols>
    <col min="2" max="2" width="10.5703125" bestFit="1" customWidth="1"/>
    <col min="9" max="9" width="9" customWidth="1"/>
    <col min="11" max="11" width="10.5703125" bestFit="1" customWidth="1"/>
    <col min="20" max="20" width="10.5703125" bestFit="1" customWidth="1"/>
    <col min="29" max="29" width="10.5703125" bestFit="1" customWidth="1"/>
    <col min="38" max="38" width="10.5703125" bestFit="1" customWidth="1"/>
    <col min="47" max="47" width="10.5703125" bestFit="1" customWidth="1"/>
    <col min="56" max="56" width="10.5703125" bestFit="1" customWidth="1"/>
    <col min="65" max="65" width="10.5703125" bestFit="1" customWidth="1"/>
  </cols>
  <sheetData>
    <row r="5" spans="2:72" x14ac:dyDescent="0.25">
      <c r="B5" s="184"/>
      <c r="C5" s="185"/>
      <c r="D5" s="191"/>
      <c r="E5" s="186" t="s">
        <v>98</v>
      </c>
      <c r="F5" s="187">
        <v>0</v>
      </c>
      <c r="G5" s="185"/>
      <c r="H5" s="185"/>
      <c r="I5" s="188"/>
      <c r="K5" s="184"/>
      <c r="L5" s="185"/>
      <c r="M5" s="191"/>
      <c r="N5" s="186" t="s">
        <v>98</v>
      </c>
      <c r="O5" s="187">
        <v>2000</v>
      </c>
      <c r="P5" s="185"/>
      <c r="Q5" s="185"/>
      <c r="R5" s="188"/>
      <c r="T5" s="184"/>
      <c r="U5" s="185"/>
      <c r="V5" s="191"/>
      <c r="W5" s="186" t="s">
        <v>98</v>
      </c>
      <c r="X5" s="187">
        <v>2100</v>
      </c>
      <c r="Y5" s="185"/>
      <c r="Z5" s="185"/>
      <c r="AA5" s="188"/>
      <c r="AC5" s="184"/>
      <c r="AD5" s="185"/>
      <c r="AE5" s="191"/>
      <c r="AF5" s="186" t="s">
        <v>98</v>
      </c>
      <c r="AG5" s="187">
        <v>3000</v>
      </c>
      <c r="AH5" s="185"/>
      <c r="AI5" s="185"/>
      <c r="AJ5" s="188"/>
      <c r="AL5" s="184"/>
      <c r="AM5" s="185"/>
      <c r="AN5" s="191"/>
      <c r="AO5" s="186" t="s">
        <v>98</v>
      </c>
      <c r="AP5" s="187">
        <v>4000</v>
      </c>
      <c r="AQ5" s="185"/>
      <c r="AR5" s="185"/>
      <c r="AS5" s="188"/>
      <c r="AU5" s="184"/>
      <c r="AV5" s="185"/>
      <c r="AW5" s="191"/>
      <c r="AX5" s="186" t="s">
        <v>98</v>
      </c>
      <c r="AY5" s="187">
        <v>5500</v>
      </c>
      <c r="AZ5" s="185"/>
      <c r="BA5" s="185"/>
      <c r="BB5" s="188"/>
      <c r="BD5" s="184"/>
      <c r="BE5" s="185"/>
      <c r="BF5" s="191"/>
      <c r="BG5" s="186" t="s">
        <v>98</v>
      </c>
      <c r="BH5" s="187">
        <v>6500</v>
      </c>
      <c r="BI5" s="185"/>
      <c r="BJ5" s="185"/>
      <c r="BK5" s="188"/>
      <c r="BM5" s="184"/>
      <c r="BN5" s="185"/>
      <c r="BO5" s="191"/>
      <c r="BP5" s="186" t="s">
        <v>98</v>
      </c>
      <c r="BQ5" s="187">
        <v>7500</v>
      </c>
      <c r="BR5" s="185"/>
      <c r="BS5" s="185"/>
      <c r="BT5" s="188"/>
    </row>
    <row r="7" spans="2:72" ht="75" x14ac:dyDescent="0.25">
      <c r="B7" s="86" t="s">
        <v>93</v>
      </c>
      <c r="C7" s="170" t="s">
        <v>94</v>
      </c>
      <c r="D7" s="170" t="s">
        <v>99</v>
      </c>
      <c r="E7" s="170" t="s">
        <v>89</v>
      </c>
      <c r="F7" s="170" t="s">
        <v>95</v>
      </c>
      <c r="G7" s="170" t="s">
        <v>91</v>
      </c>
      <c r="H7" s="170" t="s">
        <v>92</v>
      </c>
      <c r="I7" s="173" t="s">
        <v>100</v>
      </c>
      <c r="K7" s="86" t="s">
        <v>93</v>
      </c>
      <c r="L7" s="170" t="s">
        <v>94</v>
      </c>
      <c r="M7" s="170" t="s">
        <v>99</v>
      </c>
      <c r="N7" s="170" t="s">
        <v>89</v>
      </c>
      <c r="O7" s="170" t="s">
        <v>95</v>
      </c>
      <c r="P7" s="170" t="s">
        <v>91</v>
      </c>
      <c r="Q7" s="170" t="s">
        <v>92</v>
      </c>
      <c r="R7" s="173" t="s">
        <v>100</v>
      </c>
      <c r="T7" s="86" t="s">
        <v>93</v>
      </c>
      <c r="U7" s="170" t="s">
        <v>94</v>
      </c>
      <c r="V7" s="170" t="s">
        <v>99</v>
      </c>
      <c r="W7" s="170" t="s">
        <v>89</v>
      </c>
      <c r="X7" s="170" t="s">
        <v>95</v>
      </c>
      <c r="Y7" s="170" t="s">
        <v>91</v>
      </c>
      <c r="Z7" s="170" t="s">
        <v>92</v>
      </c>
      <c r="AA7" s="173" t="s">
        <v>100</v>
      </c>
      <c r="AC7" s="86" t="s">
        <v>93</v>
      </c>
      <c r="AD7" s="170" t="s">
        <v>94</v>
      </c>
      <c r="AE7" s="170" t="s">
        <v>99</v>
      </c>
      <c r="AF7" s="170" t="s">
        <v>89</v>
      </c>
      <c r="AG7" s="170" t="s">
        <v>95</v>
      </c>
      <c r="AH7" s="170" t="s">
        <v>91</v>
      </c>
      <c r="AI7" s="170" t="s">
        <v>92</v>
      </c>
      <c r="AJ7" s="173" t="s">
        <v>100</v>
      </c>
      <c r="AL7" s="86" t="s">
        <v>93</v>
      </c>
      <c r="AM7" s="170" t="s">
        <v>94</v>
      </c>
      <c r="AN7" s="170" t="s">
        <v>99</v>
      </c>
      <c r="AO7" s="170" t="s">
        <v>89</v>
      </c>
      <c r="AP7" s="170" t="s">
        <v>95</v>
      </c>
      <c r="AQ7" s="170" t="s">
        <v>91</v>
      </c>
      <c r="AR7" s="170" t="s">
        <v>92</v>
      </c>
      <c r="AS7" s="173" t="s">
        <v>100</v>
      </c>
      <c r="AU7" s="86" t="s">
        <v>93</v>
      </c>
      <c r="AV7" s="170" t="s">
        <v>94</v>
      </c>
      <c r="AW7" s="170" t="s">
        <v>99</v>
      </c>
      <c r="AX7" s="170" t="s">
        <v>89</v>
      </c>
      <c r="AY7" s="170" t="s">
        <v>95</v>
      </c>
      <c r="AZ7" s="170" t="s">
        <v>91</v>
      </c>
      <c r="BA7" s="170" t="s">
        <v>92</v>
      </c>
      <c r="BB7" s="173" t="s">
        <v>100</v>
      </c>
      <c r="BD7" s="86" t="s">
        <v>93</v>
      </c>
      <c r="BE7" s="170" t="s">
        <v>94</v>
      </c>
      <c r="BF7" s="170" t="s">
        <v>99</v>
      </c>
      <c r="BG7" s="170" t="s">
        <v>89</v>
      </c>
      <c r="BH7" s="170" t="s">
        <v>95</v>
      </c>
      <c r="BI7" s="170" t="s">
        <v>91</v>
      </c>
      <c r="BJ7" s="170" t="s">
        <v>92</v>
      </c>
      <c r="BK7" s="173" t="s">
        <v>100</v>
      </c>
      <c r="BM7" s="86" t="s">
        <v>93</v>
      </c>
      <c r="BN7" s="170" t="s">
        <v>94</v>
      </c>
      <c r="BO7" s="170" t="s">
        <v>99</v>
      </c>
      <c r="BP7" s="170" t="s">
        <v>89</v>
      </c>
      <c r="BQ7" s="170" t="s">
        <v>95</v>
      </c>
      <c r="BR7" s="170" t="s">
        <v>91</v>
      </c>
      <c r="BS7" s="170" t="s">
        <v>92</v>
      </c>
      <c r="BT7" s="173" t="s">
        <v>100</v>
      </c>
    </row>
    <row r="8" spans="2:72" x14ac:dyDescent="0.25">
      <c r="B8" s="84" t="s">
        <v>29</v>
      </c>
      <c r="C8" s="84">
        <v>1012</v>
      </c>
      <c r="D8" s="171">
        <v>0.15460369070405974</v>
      </c>
      <c r="E8" s="183">
        <v>2425</v>
      </c>
      <c r="F8" s="84" t="s">
        <v>96</v>
      </c>
      <c r="G8" s="170">
        <v>0</v>
      </c>
      <c r="H8" s="170">
        <v>5580.4795770552491</v>
      </c>
      <c r="I8" s="84">
        <f>SUM(G8:H8)</f>
        <v>5580.4795770552491</v>
      </c>
      <c r="K8" s="84" t="s">
        <v>29</v>
      </c>
      <c r="L8" s="84">
        <v>1012</v>
      </c>
      <c r="M8" s="171">
        <v>0.15460369070405974</v>
      </c>
      <c r="N8" s="183">
        <v>2425</v>
      </c>
      <c r="O8" s="84" t="s">
        <v>96</v>
      </c>
      <c r="P8" s="170">
        <v>0</v>
      </c>
      <c r="Q8" s="170">
        <v>5580.4795770552491</v>
      </c>
      <c r="R8" s="84">
        <f>SUM(P8:Q8)</f>
        <v>5580.4795770552491</v>
      </c>
      <c r="T8" s="84" t="s">
        <v>29</v>
      </c>
      <c r="U8" s="84">
        <v>1012</v>
      </c>
      <c r="V8" s="171">
        <v>0.15460369070405974</v>
      </c>
      <c r="W8" s="183">
        <v>2425</v>
      </c>
      <c r="X8" s="84" t="s">
        <v>96</v>
      </c>
      <c r="Y8" s="170">
        <v>0</v>
      </c>
      <c r="Z8" s="170">
        <v>5580.4795770552491</v>
      </c>
      <c r="AA8" s="84">
        <f>SUM(Y8:Z8)</f>
        <v>5580.4795770552491</v>
      </c>
      <c r="AC8" s="84" t="s">
        <v>29</v>
      </c>
      <c r="AD8" s="84">
        <v>1012</v>
      </c>
      <c r="AE8" s="171">
        <v>0.15460369070405974</v>
      </c>
      <c r="AF8" s="183">
        <v>2425</v>
      </c>
      <c r="AG8" s="192" t="s">
        <v>97</v>
      </c>
      <c r="AH8" s="170">
        <v>1815</v>
      </c>
      <c r="AI8" s="170">
        <v>1106.2856103446675</v>
      </c>
      <c r="AJ8" s="84">
        <f>SUM(AH8:AI8)</f>
        <v>2921.2856103446675</v>
      </c>
      <c r="AL8" s="84" t="s">
        <v>29</v>
      </c>
      <c r="AM8" s="84">
        <v>1012</v>
      </c>
      <c r="AN8" s="171">
        <v>0.15460369070405974</v>
      </c>
      <c r="AO8" s="183">
        <v>2425</v>
      </c>
      <c r="AP8" s="192" t="s">
        <v>97</v>
      </c>
      <c r="AQ8" s="170">
        <v>1815</v>
      </c>
      <c r="AR8" s="170">
        <v>1106.2856103446675</v>
      </c>
      <c r="AS8" s="84">
        <f>SUM(AQ8:AR8)</f>
        <v>2921.2856103446675</v>
      </c>
      <c r="AU8" s="84" t="s">
        <v>29</v>
      </c>
      <c r="AV8" s="84">
        <v>1012</v>
      </c>
      <c r="AW8" s="171">
        <v>0.15460369070405974</v>
      </c>
      <c r="AX8" s="183">
        <v>2425</v>
      </c>
      <c r="AY8" s="192" t="s">
        <v>97</v>
      </c>
      <c r="AZ8" s="170">
        <v>1815</v>
      </c>
      <c r="BA8" s="170">
        <v>1106.2856103446675</v>
      </c>
      <c r="BB8" s="84">
        <f>SUM(AZ8:BA8)</f>
        <v>2921.2856103446675</v>
      </c>
      <c r="BD8" s="84" t="s">
        <v>29</v>
      </c>
      <c r="BE8" s="84">
        <v>1012</v>
      </c>
      <c r="BF8" s="171">
        <v>0.15460369070405974</v>
      </c>
      <c r="BG8" s="183">
        <v>2425</v>
      </c>
      <c r="BH8" s="192" t="s">
        <v>97</v>
      </c>
      <c r="BI8" s="170">
        <v>1815</v>
      </c>
      <c r="BJ8" s="170">
        <v>1106.2856103446675</v>
      </c>
      <c r="BK8" s="84">
        <f>SUM(BI8:BJ8)</f>
        <v>2921.2856103446675</v>
      </c>
      <c r="BM8" s="84" t="s">
        <v>29</v>
      </c>
      <c r="BN8" s="84">
        <v>1012</v>
      </c>
      <c r="BO8" s="171">
        <v>0.15460369070405974</v>
      </c>
      <c r="BP8" s="183">
        <v>2425</v>
      </c>
      <c r="BQ8" s="192" t="s">
        <v>97</v>
      </c>
      <c r="BR8" s="170">
        <v>1815</v>
      </c>
      <c r="BS8" s="170">
        <v>1815</v>
      </c>
      <c r="BT8" s="84">
        <v>1106.2856103446675</v>
      </c>
    </row>
    <row r="9" spans="2:72" x14ac:dyDescent="0.25">
      <c r="B9" s="84" t="s">
        <v>30</v>
      </c>
      <c r="C9" s="84">
        <v>574</v>
      </c>
      <c r="D9" s="16">
        <v>0.46469420423942059</v>
      </c>
      <c r="E9" s="38">
        <v>400</v>
      </c>
      <c r="F9" s="84" t="s">
        <v>96</v>
      </c>
      <c r="G9" s="170">
        <v>0</v>
      </c>
      <c r="H9" s="170">
        <v>1885.1430866513278</v>
      </c>
      <c r="I9" s="84">
        <f>SUM(G9:H9)</f>
        <v>1885.1430866513278</v>
      </c>
      <c r="K9" s="84" t="s">
        <v>30</v>
      </c>
      <c r="L9" s="84">
        <v>574</v>
      </c>
      <c r="M9" s="16">
        <v>0.46469420423942059</v>
      </c>
      <c r="N9" s="38">
        <v>400</v>
      </c>
      <c r="O9" s="84" t="s">
        <v>96</v>
      </c>
      <c r="P9" s="170">
        <v>0</v>
      </c>
      <c r="Q9" s="170">
        <v>1885.1430866513278</v>
      </c>
      <c r="R9" s="84">
        <f>SUM(P9:Q9)</f>
        <v>1885.1430866513278</v>
      </c>
      <c r="T9" s="84" t="s">
        <v>30</v>
      </c>
      <c r="U9" s="84">
        <v>574</v>
      </c>
      <c r="V9" s="16">
        <v>0.46469420423942059</v>
      </c>
      <c r="W9" s="38">
        <v>400</v>
      </c>
      <c r="X9" s="84" t="s">
        <v>96</v>
      </c>
      <c r="Y9" s="170">
        <v>0</v>
      </c>
      <c r="Z9" s="170">
        <v>1885.1430866513278</v>
      </c>
      <c r="AA9" s="84">
        <f>SUM(Y9:Z9)</f>
        <v>1885.1430866513278</v>
      </c>
      <c r="AC9" s="84" t="s">
        <v>30</v>
      </c>
      <c r="AD9" s="84">
        <v>574</v>
      </c>
      <c r="AE9" s="16">
        <v>0.46469420423942059</v>
      </c>
      <c r="AF9" s="38">
        <v>400</v>
      </c>
      <c r="AG9" s="84" t="s">
        <v>96</v>
      </c>
      <c r="AH9" s="170">
        <v>0</v>
      </c>
      <c r="AI9" s="170">
        <v>1885.1430866513278</v>
      </c>
      <c r="AJ9" s="84">
        <f>SUM(AH9:AI9)</f>
        <v>1885.1430866513278</v>
      </c>
      <c r="AL9" s="84" t="s">
        <v>30</v>
      </c>
      <c r="AM9" s="84">
        <v>574</v>
      </c>
      <c r="AN9" s="16">
        <v>0.46469420423942059</v>
      </c>
      <c r="AO9" s="38">
        <v>400</v>
      </c>
      <c r="AP9" s="84" t="s">
        <v>96</v>
      </c>
      <c r="AQ9" s="170">
        <v>0</v>
      </c>
      <c r="AR9" s="170">
        <v>1885.1430866513278</v>
      </c>
      <c r="AS9" s="84">
        <f>SUM(AQ9:AR9)</f>
        <v>1885.1430866513278</v>
      </c>
      <c r="AU9" s="84" t="s">
        <v>30</v>
      </c>
      <c r="AV9" s="84">
        <v>574</v>
      </c>
      <c r="AW9" s="16">
        <v>0.46469420423942059</v>
      </c>
      <c r="AX9" s="38">
        <v>400</v>
      </c>
      <c r="AY9" s="84" t="s">
        <v>96</v>
      </c>
      <c r="AZ9" s="170">
        <v>0</v>
      </c>
      <c r="BA9" s="170">
        <v>1885.1430866513278</v>
      </c>
      <c r="BB9" s="84">
        <f>SUM(AZ9:BA9)</f>
        <v>1885.1430866513278</v>
      </c>
      <c r="BD9" s="84" t="s">
        <v>30</v>
      </c>
      <c r="BE9" s="84">
        <v>574</v>
      </c>
      <c r="BF9" s="16">
        <v>0.46469420423942059</v>
      </c>
      <c r="BG9" s="38">
        <v>400</v>
      </c>
      <c r="BH9" s="84" t="s">
        <v>96</v>
      </c>
      <c r="BI9" s="170">
        <v>0</v>
      </c>
      <c r="BJ9" s="170">
        <v>1885.1430866513278</v>
      </c>
      <c r="BK9" s="84">
        <f>SUM(BI9:BJ9)</f>
        <v>1885.1430866513278</v>
      </c>
      <c r="BM9" s="84" t="s">
        <v>30</v>
      </c>
      <c r="BN9" s="84">
        <v>574</v>
      </c>
      <c r="BO9" s="16">
        <v>0.46469420423942059</v>
      </c>
      <c r="BP9" s="38">
        <v>400</v>
      </c>
      <c r="BQ9" s="192" t="s">
        <v>97</v>
      </c>
      <c r="BR9" s="170">
        <v>0</v>
      </c>
      <c r="BS9" s="170">
        <v>1024</v>
      </c>
      <c r="BT9" s="84">
        <v>823.5144361980756</v>
      </c>
    </row>
    <row r="10" spans="2:72" x14ac:dyDescent="0.25">
      <c r="B10" s="84" t="s">
        <v>31</v>
      </c>
      <c r="C10" s="84">
        <v>1769</v>
      </c>
      <c r="D10" s="16">
        <v>0.32389442988606876</v>
      </c>
      <c r="E10" s="38">
        <v>1218</v>
      </c>
      <c r="F10" s="84" t="s">
        <v>96</v>
      </c>
      <c r="G10" s="170">
        <v>0</v>
      </c>
      <c r="H10" s="170">
        <v>3072.8622547472551</v>
      </c>
      <c r="I10" s="84">
        <f t="shared" ref="I10:I13" si="0">SUM(G10:H10)</f>
        <v>3072.8622547472551</v>
      </c>
      <c r="K10" s="84" t="s">
        <v>31</v>
      </c>
      <c r="L10" s="84">
        <v>1769</v>
      </c>
      <c r="M10" s="16">
        <v>0.32389442988606876</v>
      </c>
      <c r="N10" s="38">
        <v>1218</v>
      </c>
      <c r="O10" s="84" t="s">
        <v>96</v>
      </c>
      <c r="P10" s="170">
        <v>0</v>
      </c>
      <c r="Q10" s="170">
        <v>3072.8622547472551</v>
      </c>
      <c r="R10" s="84">
        <f t="shared" ref="R10:R13" si="1">SUM(P10:Q10)</f>
        <v>3072.8622547472551</v>
      </c>
      <c r="T10" s="84" t="s">
        <v>31</v>
      </c>
      <c r="U10" s="84">
        <v>1769</v>
      </c>
      <c r="V10" s="16">
        <v>0.32389442988606876</v>
      </c>
      <c r="W10" s="38">
        <v>1218</v>
      </c>
      <c r="X10" s="84" t="s">
        <v>96</v>
      </c>
      <c r="Y10" s="170">
        <v>0</v>
      </c>
      <c r="Z10" s="170">
        <v>3072.8622547472551</v>
      </c>
      <c r="AA10" s="84">
        <f t="shared" ref="AA10:AA13" si="2">SUM(Y10:Z10)</f>
        <v>3072.8622547472551</v>
      </c>
      <c r="AC10" s="84" t="s">
        <v>31</v>
      </c>
      <c r="AD10" s="84">
        <v>1769</v>
      </c>
      <c r="AE10" s="16">
        <v>0.32389442988606876</v>
      </c>
      <c r="AF10" s="38">
        <v>1218</v>
      </c>
      <c r="AG10" s="84" t="s">
        <v>96</v>
      </c>
      <c r="AH10" s="170">
        <v>0</v>
      </c>
      <c r="AI10" s="170">
        <v>3072.8622547472551</v>
      </c>
      <c r="AJ10" s="84">
        <f t="shared" ref="AJ10:AJ13" si="3">SUM(AH10:AI10)</f>
        <v>3072.8622547472551</v>
      </c>
      <c r="AL10" s="84" t="s">
        <v>31</v>
      </c>
      <c r="AM10" s="84">
        <v>1769</v>
      </c>
      <c r="AN10" s="16">
        <v>0.32389442988606876</v>
      </c>
      <c r="AO10" s="38">
        <v>1218</v>
      </c>
      <c r="AP10" s="84" t="s">
        <v>96</v>
      </c>
      <c r="AQ10" s="170">
        <v>0</v>
      </c>
      <c r="AR10" s="170">
        <v>3072.8622547472551</v>
      </c>
      <c r="AS10" s="84">
        <f t="shared" ref="AS10:AS13" si="4">SUM(AQ10:AR10)</f>
        <v>3072.8622547472551</v>
      </c>
      <c r="AU10" s="84" t="s">
        <v>31</v>
      </c>
      <c r="AV10" s="84">
        <v>1769</v>
      </c>
      <c r="AW10" s="16">
        <v>0.32389442988606876</v>
      </c>
      <c r="AX10" s="38">
        <v>1218</v>
      </c>
      <c r="AY10" s="84" t="s">
        <v>96</v>
      </c>
      <c r="AZ10" s="170">
        <v>0</v>
      </c>
      <c r="BA10" s="170">
        <v>3072.8622547472551</v>
      </c>
      <c r="BB10" s="84">
        <f t="shared" ref="BB10:BB13" si="5">SUM(AZ10:BA10)</f>
        <v>3072.8622547472551</v>
      </c>
      <c r="BD10" s="84" t="s">
        <v>31</v>
      </c>
      <c r="BE10" s="84">
        <v>1769</v>
      </c>
      <c r="BF10" s="16">
        <v>0.32389442988606876</v>
      </c>
      <c r="BG10" s="38">
        <v>1218</v>
      </c>
      <c r="BH10" s="84" t="s">
        <v>96</v>
      </c>
      <c r="BI10" s="170">
        <v>0</v>
      </c>
      <c r="BJ10" s="170">
        <v>3072.8622547472551</v>
      </c>
      <c r="BK10" s="84">
        <f t="shared" ref="BK10:BK13" si="6">SUM(BI10:BJ10)</f>
        <v>3072.8622547472551</v>
      </c>
      <c r="BM10" s="84" t="s">
        <v>31</v>
      </c>
      <c r="BN10" s="84">
        <v>1769</v>
      </c>
      <c r="BO10" s="16">
        <v>0.32389442988606876</v>
      </c>
      <c r="BP10" s="38">
        <v>1218</v>
      </c>
      <c r="BQ10" s="84" t="s">
        <v>96</v>
      </c>
      <c r="BR10" s="170">
        <v>0</v>
      </c>
      <c r="BS10" s="170">
        <v>0</v>
      </c>
      <c r="BT10" s="84">
        <v>3072.8622547472551</v>
      </c>
    </row>
    <row r="11" spans="2:72" x14ac:dyDescent="0.25">
      <c r="B11" s="84" t="s">
        <v>32</v>
      </c>
      <c r="C11" s="84">
        <v>610</v>
      </c>
      <c r="D11" s="16">
        <v>0.59739226930593115</v>
      </c>
      <c r="E11" s="38">
        <v>478</v>
      </c>
      <c r="F11" s="84" t="s">
        <v>96</v>
      </c>
      <c r="G11" s="170">
        <v>0</v>
      </c>
      <c r="H11" s="170">
        <v>2511.2098024638804</v>
      </c>
      <c r="I11" s="84">
        <f t="shared" si="0"/>
        <v>2511.2098024638804</v>
      </c>
      <c r="K11" s="84" t="s">
        <v>32</v>
      </c>
      <c r="L11" s="84">
        <v>610</v>
      </c>
      <c r="M11" s="16">
        <v>0.59739226930593115</v>
      </c>
      <c r="N11" s="38">
        <v>478</v>
      </c>
      <c r="O11" s="84" t="s">
        <v>96</v>
      </c>
      <c r="P11" s="170">
        <v>0</v>
      </c>
      <c r="Q11" s="170">
        <v>2511.2098024638804</v>
      </c>
      <c r="R11" s="84">
        <f t="shared" si="1"/>
        <v>2511.2098024638804</v>
      </c>
      <c r="T11" s="84" t="s">
        <v>32</v>
      </c>
      <c r="U11" s="84">
        <v>610</v>
      </c>
      <c r="V11" s="16">
        <v>0.59739226930593115</v>
      </c>
      <c r="W11" s="38">
        <v>478</v>
      </c>
      <c r="X11" s="192" t="s">
        <v>97</v>
      </c>
      <c r="Y11" s="170">
        <v>1020.6666666666666</v>
      </c>
      <c r="Z11" s="170">
        <v>706.77787123343808</v>
      </c>
      <c r="AA11" s="84">
        <f t="shared" si="2"/>
        <v>1727.4445379001047</v>
      </c>
      <c r="AC11" s="84" t="s">
        <v>32</v>
      </c>
      <c r="AD11" s="84">
        <v>610</v>
      </c>
      <c r="AE11" s="16">
        <v>0.59739226930593115</v>
      </c>
      <c r="AF11" s="38">
        <v>478</v>
      </c>
      <c r="AG11" s="84" t="s">
        <v>96</v>
      </c>
      <c r="AH11" s="170">
        <v>0</v>
      </c>
      <c r="AI11" s="170">
        <v>2511.2098024638804</v>
      </c>
      <c r="AJ11" s="84">
        <f t="shared" si="3"/>
        <v>2511.2098024638804</v>
      </c>
      <c r="AL11" s="84" t="s">
        <v>32</v>
      </c>
      <c r="AM11" s="84">
        <v>610</v>
      </c>
      <c r="AN11" s="16">
        <v>0.59739226930593115</v>
      </c>
      <c r="AO11" s="38">
        <v>478</v>
      </c>
      <c r="AP11" s="192" t="s">
        <v>97</v>
      </c>
      <c r="AQ11" s="170">
        <v>1020.6666666666666</v>
      </c>
      <c r="AR11" s="170">
        <v>706.77787123343808</v>
      </c>
      <c r="AS11" s="84">
        <f t="shared" si="4"/>
        <v>1727.4445379001047</v>
      </c>
      <c r="AU11" s="84" t="s">
        <v>32</v>
      </c>
      <c r="AV11" s="84">
        <v>610</v>
      </c>
      <c r="AW11" s="16">
        <v>0.59739226930593115</v>
      </c>
      <c r="AX11" s="38">
        <v>478</v>
      </c>
      <c r="AY11" s="84" t="s">
        <v>96</v>
      </c>
      <c r="AZ11" s="170">
        <v>0</v>
      </c>
      <c r="BA11" s="170">
        <v>2511.2098024638804</v>
      </c>
      <c r="BB11" s="84">
        <f t="shared" si="5"/>
        <v>2511.2098024638804</v>
      </c>
      <c r="BD11" s="84" t="s">
        <v>32</v>
      </c>
      <c r="BE11" s="84">
        <v>610</v>
      </c>
      <c r="BF11" s="16">
        <v>0.59739226930593115</v>
      </c>
      <c r="BG11" s="38">
        <v>478</v>
      </c>
      <c r="BH11" s="192" t="s">
        <v>97</v>
      </c>
      <c r="BI11" s="170">
        <v>1020.6666666666666</v>
      </c>
      <c r="BJ11" s="170">
        <v>706.77787123343808</v>
      </c>
      <c r="BK11" s="84">
        <f t="shared" si="6"/>
        <v>1727.4445379001047</v>
      </c>
      <c r="BM11" s="84" t="s">
        <v>32</v>
      </c>
      <c r="BN11" s="84">
        <v>610</v>
      </c>
      <c r="BO11" s="16">
        <v>0.59739226930593115</v>
      </c>
      <c r="BP11" s="38">
        <v>478</v>
      </c>
      <c r="BQ11" s="192" t="s">
        <v>97</v>
      </c>
      <c r="BR11" s="170">
        <v>1020.6666666666666</v>
      </c>
      <c r="BS11" s="170">
        <v>1020.6666666666666</v>
      </c>
      <c r="BT11" s="84">
        <v>706.77787123343808</v>
      </c>
    </row>
    <row r="12" spans="2:72" x14ac:dyDescent="0.25">
      <c r="B12" s="84" t="s">
        <v>33</v>
      </c>
      <c r="C12" s="84">
        <v>897</v>
      </c>
      <c r="D12" s="171">
        <v>0.2978263947597099</v>
      </c>
      <c r="E12" s="183">
        <v>2310</v>
      </c>
      <c r="F12" s="84" t="s">
        <v>96</v>
      </c>
      <c r="G12" s="170">
        <v>0</v>
      </c>
      <c r="H12" s="170">
        <v>5612.4466200085153</v>
      </c>
      <c r="I12" s="84">
        <f t="shared" si="0"/>
        <v>5612.4466200085153</v>
      </c>
      <c r="K12" s="84" t="s">
        <v>33</v>
      </c>
      <c r="L12" s="84">
        <v>897</v>
      </c>
      <c r="M12" s="171">
        <v>0.2978263947597099</v>
      </c>
      <c r="N12" s="183">
        <v>2310</v>
      </c>
      <c r="O12" s="192" t="s">
        <v>97</v>
      </c>
      <c r="P12" s="170">
        <v>1027</v>
      </c>
      <c r="Q12" s="170">
        <v>944.77458585081035</v>
      </c>
      <c r="R12" s="84">
        <f t="shared" si="1"/>
        <v>1971.7745858508104</v>
      </c>
      <c r="T12" s="84" t="s">
        <v>33</v>
      </c>
      <c r="U12" s="84">
        <v>897</v>
      </c>
      <c r="V12" s="171">
        <v>0.2978263947597099</v>
      </c>
      <c r="W12" s="183">
        <v>2310</v>
      </c>
      <c r="X12" s="192" t="s">
        <v>97</v>
      </c>
      <c r="Y12" s="170">
        <v>1027</v>
      </c>
      <c r="Z12" s="170">
        <v>944.77458585081035</v>
      </c>
      <c r="AA12" s="84">
        <f t="shared" si="2"/>
        <v>1971.7745858508104</v>
      </c>
      <c r="AC12" s="84" t="s">
        <v>33</v>
      </c>
      <c r="AD12" s="84">
        <v>897</v>
      </c>
      <c r="AE12" s="171">
        <v>0.2978263947597099</v>
      </c>
      <c r="AF12" s="183">
        <v>2310</v>
      </c>
      <c r="AG12" s="192" t="s">
        <v>97</v>
      </c>
      <c r="AH12" s="170">
        <v>1027</v>
      </c>
      <c r="AI12" s="170">
        <v>944.77458585081035</v>
      </c>
      <c r="AJ12" s="84">
        <f t="shared" si="3"/>
        <v>1971.7745858508104</v>
      </c>
      <c r="AL12" s="84" t="s">
        <v>33</v>
      </c>
      <c r="AM12" s="84">
        <v>897</v>
      </c>
      <c r="AN12" s="171">
        <v>0.2978263947597099</v>
      </c>
      <c r="AO12" s="183">
        <v>2310</v>
      </c>
      <c r="AP12" s="192" t="s">
        <v>97</v>
      </c>
      <c r="AQ12" s="170">
        <v>1027</v>
      </c>
      <c r="AR12" s="170">
        <v>944.77458585081035</v>
      </c>
      <c r="AS12" s="84">
        <f t="shared" si="4"/>
        <v>1971.7745858508104</v>
      </c>
      <c r="AU12" s="84" t="s">
        <v>33</v>
      </c>
      <c r="AV12" s="84">
        <v>897</v>
      </c>
      <c r="AW12" s="171">
        <v>0.2978263947597099</v>
      </c>
      <c r="AX12" s="183">
        <v>2310</v>
      </c>
      <c r="AY12" s="192" t="s">
        <v>97</v>
      </c>
      <c r="AZ12" s="170">
        <v>1027</v>
      </c>
      <c r="BA12" s="170">
        <v>944.77458585081035</v>
      </c>
      <c r="BB12" s="84">
        <f t="shared" si="5"/>
        <v>1971.7745858508104</v>
      </c>
      <c r="BD12" s="84" t="s">
        <v>33</v>
      </c>
      <c r="BE12" s="84">
        <v>897</v>
      </c>
      <c r="BF12" s="171">
        <v>0.2978263947597099</v>
      </c>
      <c r="BG12" s="183">
        <v>2310</v>
      </c>
      <c r="BH12" s="192" t="s">
        <v>97</v>
      </c>
      <c r="BI12" s="170">
        <v>1027</v>
      </c>
      <c r="BJ12" s="170">
        <v>944.77458585081035</v>
      </c>
      <c r="BK12" s="84">
        <f t="shared" si="6"/>
        <v>1971.7745858508104</v>
      </c>
      <c r="BM12" s="84" t="s">
        <v>33</v>
      </c>
      <c r="BN12" s="84">
        <v>897</v>
      </c>
      <c r="BO12" s="171">
        <v>0.2978263947597099</v>
      </c>
      <c r="BP12" s="183">
        <v>2310</v>
      </c>
      <c r="BQ12" s="192" t="s">
        <v>97</v>
      </c>
      <c r="BR12" s="170">
        <v>1027</v>
      </c>
      <c r="BS12" s="170">
        <v>1027</v>
      </c>
      <c r="BT12" s="84">
        <v>944.77458585081035</v>
      </c>
    </row>
    <row r="13" spans="2:72" x14ac:dyDescent="0.25">
      <c r="B13" s="84" t="s">
        <v>23</v>
      </c>
      <c r="C13" s="84">
        <v>2517</v>
      </c>
      <c r="D13" s="16">
        <v>0.19847209996024395</v>
      </c>
      <c r="E13" s="38">
        <v>2727</v>
      </c>
      <c r="F13" s="84" t="s">
        <v>96</v>
      </c>
      <c r="G13" s="170">
        <v>0</v>
      </c>
      <c r="H13" s="170">
        <v>6355.5494525859522</v>
      </c>
      <c r="I13" s="84">
        <f t="shared" si="0"/>
        <v>6355.5494525859522</v>
      </c>
      <c r="K13" s="84" t="s">
        <v>23</v>
      </c>
      <c r="L13" s="84">
        <v>2517</v>
      </c>
      <c r="M13" s="16">
        <v>0.19847209996024395</v>
      </c>
      <c r="N13" s="38">
        <v>2727</v>
      </c>
      <c r="O13" s="84" t="s">
        <v>96</v>
      </c>
      <c r="P13" s="170">
        <v>0</v>
      </c>
      <c r="Q13" s="170">
        <v>6355.5494525859522</v>
      </c>
      <c r="R13" s="84">
        <f t="shared" si="1"/>
        <v>6355.5494525859522</v>
      </c>
      <c r="T13" s="84" t="s">
        <v>23</v>
      </c>
      <c r="U13" s="84">
        <v>2517</v>
      </c>
      <c r="V13" s="16">
        <v>0.19847209996024395</v>
      </c>
      <c r="W13" s="38">
        <v>2727</v>
      </c>
      <c r="X13" s="84" t="s">
        <v>96</v>
      </c>
      <c r="Y13" s="170">
        <v>0</v>
      </c>
      <c r="Z13" s="170">
        <v>6355.5494525859522</v>
      </c>
      <c r="AA13" s="84">
        <f t="shared" si="2"/>
        <v>6355.5494525859522</v>
      </c>
      <c r="AC13" s="84" t="s">
        <v>23</v>
      </c>
      <c r="AD13" s="84">
        <v>2517</v>
      </c>
      <c r="AE13" s="16">
        <v>0.19847209996024395</v>
      </c>
      <c r="AF13" s="38">
        <v>2727</v>
      </c>
      <c r="AG13" s="84" t="s">
        <v>96</v>
      </c>
      <c r="AH13" s="170">
        <v>0</v>
      </c>
      <c r="AI13" s="170">
        <v>6355.5494525859522</v>
      </c>
      <c r="AJ13" s="84">
        <f t="shared" si="3"/>
        <v>6355.5494525859522</v>
      </c>
      <c r="AL13" s="84" t="s">
        <v>23</v>
      </c>
      <c r="AM13" s="84">
        <v>2517</v>
      </c>
      <c r="AN13" s="16">
        <v>0.19847209996024395</v>
      </c>
      <c r="AO13" s="38">
        <v>2727</v>
      </c>
      <c r="AP13" s="84" t="s">
        <v>96</v>
      </c>
      <c r="AQ13" s="170">
        <v>0</v>
      </c>
      <c r="AR13" s="170">
        <v>6355.5494525859522</v>
      </c>
      <c r="AS13" s="84">
        <f t="shared" si="4"/>
        <v>6355.5494525859522</v>
      </c>
      <c r="AU13" s="84" t="s">
        <v>23</v>
      </c>
      <c r="AV13" s="84">
        <v>2517</v>
      </c>
      <c r="AW13" s="16">
        <v>0.19847209996024395</v>
      </c>
      <c r="AX13" s="38">
        <v>2727</v>
      </c>
      <c r="AY13" s="192" t="s">
        <v>97</v>
      </c>
      <c r="AZ13" s="170">
        <v>2601.65</v>
      </c>
      <c r="BA13" s="170">
        <v>1967.8271397481053</v>
      </c>
      <c r="BB13" s="84">
        <f t="shared" si="5"/>
        <v>4569.4771397481054</v>
      </c>
      <c r="BD13" s="84" t="s">
        <v>23</v>
      </c>
      <c r="BE13" s="84">
        <v>2517</v>
      </c>
      <c r="BF13" s="16">
        <v>0.19847209996024395</v>
      </c>
      <c r="BG13" s="38">
        <v>2727</v>
      </c>
      <c r="BH13" s="192" t="s">
        <v>97</v>
      </c>
      <c r="BI13" s="170">
        <v>2601.65</v>
      </c>
      <c r="BJ13" s="170">
        <v>1967.8271397481053</v>
      </c>
      <c r="BK13" s="84">
        <f t="shared" si="6"/>
        <v>4569.4771397481054</v>
      </c>
      <c r="BM13" s="84" t="s">
        <v>23</v>
      </c>
      <c r="BN13" s="84">
        <v>2517</v>
      </c>
      <c r="BO13" s="16">
        <v>0.19847209996024395</v>
      </c>
      <c r="BP13" s="38">
        <v>2727</v>
      </c>
      <c r="BQ13" s="192" t="s">
        <v>97</v>
      </c>
      <c r="BR13" s="170">
        <v>2601.65</v>
      </c>
      <c r="BS13" s="170">
        <v>2601.65</v>
      </c>
      <c r="BT13" s="84">
        <v>1967.8271397481053</v>
      </c>
    </row>
    <row r="15" spans="2:72" x14ac:dyDescent="0.25">
      <c r="B15" s="161" t="s">
        <v>62</v>
      </c>
      <c r="C15" s="149"/>
      <c r="D15" s="149"/>
      <c r="E15" s="149"/>
      <c r="F15" s="128"/>
      <c r="G15" s="129"/>
      <c r="H15" s="75">
        <v>25017.690793512178</v>
      </c>
      <c r="I15" s="129"/>
      <c r="K15" s="161" t="s">
        <v>62</v>
      </c>
      <c r="L15" s="149"/>
      <c r="M15" s="149"/>
      <c r="N15" s="149"/>
      <c r="O15" s="128"/>
      <c r="P15" s="129"/>
      <c r="Q15" s="75">
        <v>21377.018759354476</v>
      </c>
      <c r="R15" s="129"/>
      <c r="T15" s="161" t="s">
        <v>62</v>
      </c>
      <c r="U15" s="149"/>
      <c r="V15" s="149"/>
      <c r="W15" s="149"/>
      <c r="X15" s="128"/>
      <c r="Y15" s="129"/>
      <c r="Z15" s="75">
        <v>20593.253494790697</v>
      </c>
      <c r="AA15" s="129"/>
      <c r="AC15" s="161" t="s">
        <v>62</v>
      </c>
      <c r="AD15" s="149"/>
      <c r="AE15" s="149"/>
      <c r="AF15" s="149"/>
      <c r="AG15" s="128"/>
      <c r="AH15" s="129"/>
      <c r="AI15" s="75">
        <v>18717.824792643893</v>
      </c>
      <c r="AJ15" s="129"/>
      <c r="AL15" s="161" t="s">
        <v>62</v>
      </c>
      <c r="AM15" s="149"/>
      <c r="AN15" s="149"/>
      <c r="AO15" s="149"/>
      <c r="AP15" s="128"/>
      <c r="AQ15" s="129"/>
      <c r="AR15" s="75">
        <v>17934.059528080117</v>
      </c>
      <c r="AS15" s="129"/>
      <c r="AU15" s="161" t="s">
        <v>62</v>
      </c>
      <c r="AV15" s="149"/>
      <c r="AW15" s="149"/>
      <c r="AX15" s="149"/>
      <c r="AY15" s="128"/>
      <c r="AZ15" s="129"/>
      <c r="BA15" s="75">
        <v>16931.752479806048</v>
      </c>
      <c r="BB15" s="129"/>
      <c r="BD15" s="161" t="s">
        <v>62</v>
      </c>
      <c r="BE15" s="149"/>
      <c r="BF15" s="149"/>
      <c r="BG15" s="149"/>
      <c r="BH15" s="128"/>
      <c r="BI15" s="129"/>
      <c r="BJ15" s="75">
        <v>16147.98721524227</v>
      </c>
      <c r="BK15" s="129"/>
      <c r="BM15" s="161" t="s">
        <v>62</v>
      </c>
      <c r="BN15" s="149"/>
      <c r="BO15" s="149"/>
      <c r="BP15" s="149"/>
      <c r="BQ15" s="128"/>
      <c r="BR15" s="129"/>
      <c r="BS15" s="75">
        <v>16110.358564789018</v>
      </c>
      <c r="BT15" s="129"/>
    </row>
    <row r="16" spans="2:72" x14ac:dyDescent="0.25">
      <c r="B16" s="160" t="s">
        <v>63</v>
      </c>
      <c r="C16" s="158"/>
      <c r="D16" s="158"/>
      <c r="E16" s="158"/>
      <c r="F16" s="159"/>
      <c r="G16" s="159"/>
      <c r="H16" s="75">
        <v>0</v>
      </c>
      <c r="I16" s="129"/>
      <c r="K16" s="160" t="s">
        <v>63</v>
      </c>
      <c r="L16" s="158"/>
      <c r="M16" s="158"/>
      <c r="N16" s="158"/>
      <c r="O16" s="159"/>
      <c r="P16" s="159"/>
      <c r="Q16" s="75">
        <v>1027</v>
      </c>
      <c r="R16" s="129"/>
      <c r="T16" s="160" t="s">
        <v>63</v>
      </c>
      <c r="U16" s="158"/>
      <c r="V16" s="158"/>
      <c r="W16" s="158"/>
      <c r="X16" s="159"/>
      <c r="Y16" s="159"/>
      <c r="Z16" s="75">
        <v>2047.6666666666665</v>
      </c>
      <c r="AA16" s="129"/>
      <c r="AC16" s="160" t="s">
        <v>63</v>
      </c>
      <c r="AD16" s="158"/>
      <c r="AE16" s="158"/>
      <c r="AF16" s="158"/>
      <c r="AG16" s="159"/>
      <c r="AH16" s="159"/>
      <c r="AI16" s="75">
        <v>2842</v>
      </c>
      <c r="AJ16" s="129"/>
      <c r="AL16" s="160" t="s">
        <v>63</v>
      </c>
      <c r="AM16" s="158"/>
      <c r="AN16" s="158"/>
      <c r="AO16" s="158"/>
      <c r="AP16" s="159"/>
      <c r="AQ16" s="159"/>
      <c r="AR16" s="75">
        <v>3862.6666666666665</v>
      </c>
      <c r="AS16" s="129"/>
      <c r="AU16" s="160" t="s">
        <v>63</v>
      </c>
      <c r="AV16" s="158"/>
      <c r="AW16" s="158"/>
      <c r="AX16" s="158"/>
      <c r="AY16" s="159"/>
      <c r="AZ16" s="159"/>
      <c r="BA16" s="75">
        <v>5443.65</v>
      </c>
      <c r="BB16" s="129"/>
      <c r="BD16" s="160" t="s">
        <v>63</v>
      </c>
      <c r="BE16" s="158"/>
      <c r="BF16" s="158"/>
      <c r="BG16" s="158"/>
      <c r="BH16" s="159"/>
      <c r="BI16" s="159"/>
      <c r="BJ16" s="75">
        <v>6464.3166666666666</v>
      </c>
      <c r="BK16" s="129"/>
      <c r="BM16" s="160" t="s">
        <v>63</v>
      </c>
      <c r="BN16" s="158"/>
      <c r="BO16" s="158"/>
      <c r="BP16" s="158"/>
      <c r="BQ16" s="159"/>
      <c r="BR16" s="159"/>
      <c r="BS16" s="75">
        <v>7488.3166666666657</v>
      </c>
      <c r="BT16" s="129"/>
    </row>
    <row r="17" spans="2:72" x14ac:dyDescent="0.25">
      <c r="B17" s="162" t="s">
        <v>64</v>
      </c>
      <c r="C17" s="149"/>
      <c r="D17" s="149"/>
      <c r="E17" s="149"/>
      <c r="F17" s="128"/>
      <c r="G17" s="129"/>
      <c r="H17" s="190">
        <v>25017.690793512178</v>
      </c>
      <c r="I17" s="189"/>
      <c r="K17" s="162" t="s">
        <v>64</v>
      </c>
      <c r="L17" s="149"/>
      <c r="M17" s="149"/>
      <c r="N17" s="149"/>
      <c r="O17" s="128"/>
      <c r="P17" s="129"/>
      <c r="Q17" s="190">
        <v>20350.018759354476</v>
      </c>
      <c r="R17" s="189"/>
      <c r="T17" s="162" t="s">
        <v>64</v>
      </c>
      <c r="U17" s="149"/>
      <c r="V17" s="149"/>
      <c r="W17" s="149"/>
      <c r="X17" s="128"/>
      <c r="Y17" s="129"/>
      <c r="Z17" s="190">
        <v>18545.586828124029</v>
      </c>
      <c r="AA17" s="189"/>
      <c r="AC17" s="162" t="s">
        <v>64</v>
      </c>
      <c r="AD17" s="149"/>
      <c r="AE17" s="149"/>
      <c r="AF17" s="149"/>
      <c r="AG17" s="128"/>
      <c r="AH17" s="129"/>
      <c r="AI17" s="190">
        <v>15875.824792643893</v>
      </c>
      <c r="AJ17" s="189"/>
      <c r="AL17" s="162" t="s">
        <v>64</v>
      </c>
      <c r="AM17" s="149"/>
      <c r="AN17" s="149"/>
      <c r="AO17" s="149"/>
      <c r="AP17" s="128"/>
      <c r="AQ17" s="129"/>
      <c r="AR17" s="190">
        <v>14071.392861413451</v>
      </c>
      <c r="AS17" s="189"/>
      <c r="AU17" s="162" t="s">
        <v>64</v>
      </c>
      <c r="AV17" s="149"/>
      <c r="AW17" s="149"/>
      <c r="AX17" s="149"/>
      <c r="AY17" s="128"/>
      <c r="AZ17" s="129"/>
      <c r="BA17" s="190">
        <v>11488.102479806048</v>
      </c>
      <c r="BB17" s="189"/>
      <c r="BD17" s="162" t="s">
        <v>64</v>
      </c>
      <c r="BE17" s="149"/>
      <c r="BF17" s="149"/>
      <c r="BG17" s="149"/>
      <c r="BH17" s="128"/>
      <c r="BI17" s="129"/>
      <c r="BJ17" s="190">
        <v>9683.6705485756029</v>
      </c>
      <c r="BK17" s="189"/>
      <c r="BM17" s="162" t="s">
        <v>64</v>
      </c>
      <c r="BN17" s="149"/>
      <c r="BO17" s="149"/>
      <c r="BP17" s="149"/>
      <c r="BQ17" s="128"/>
      <c r="BR17" s="129"/>
      <c r="BS17" s="190">
        <v>8622.041898122352</v>
      </c>
      <c r="BT17" s="189"/>
    </row>
    <row r="18" spans="2:72" x14ac:dyDescent="0.25">
      <c r="B18" s="158"/>
      <c r="C18" s="158"/>
      <c r="D18" s="158"/>
      <c r="E18" s="158"/>
      <c r="F18" s="159"/>
      <c r="G18" s="159"/>
      <c r="H18" s="147"/>
    </row>
    <row r="19" spans="2:72" x14ac:dyDescent="0.25">
      <c r="B19" s="158"/>
      <c r="C19" s="158"/>
      <c r="D19" s="158"/>
      <c r="E19" s="158"/>
      <c r="F19" s="159"/>
      <c r="G19" s="159"/>
      <c r="H19" s="147"/>
    </row>
    <row r="20" spans="2:72" x14ac:dyDescent="0.25">
      <c r="B20" s="158"/>
      <c r="C20" s="158"/>
      <c r="D20" s="158"/>
      <c r="E20" s="158"/>
      <c r="F20" s="159"/>
      <c r="G20" s="159"/>
      <c r="H20" s="147"/>
    </row>
    <row r="21" spans="2:72" x14ac:dyDescent="0.25">
      <c r="B21" s="158"/>
      <c r="C21" s="158"/>
      <c r="D21" s="158"/>
      <c r="E21" s="158"/>
      <c r="F21" s="159"/>
      <c r="G21" s="159"/>
      <c r="H21" s="147"/>
    </row>
    <row r="22" spans="2:72" x14ac:dyDescent="0.25">
      <c r="B22" s="158"/>
      <c r="C22" s="158"/>
      <c r="D22" s="158"/>
      <c r="E22" s="158"/>
      <c r="F22" s="159"/>
      <c r="G22" s="159"/>
      <c r="H22" s="147"/>
    </row>
    <row r="23" spans="2:72" x14ac:dyDescent="0.25">
      <c r="B23" s="158"/>
      <c r="C23" s="158"/>
      <c r="D23" s="158"/>
      <c r="E23" s="158"/>
      <c r="F23" s="159"/>
      <c r="G23" s="159"/>
      <c r="H23" s="147"/>
    </row>
    <row r="41" spans="8:12" ht="15.75" x14ac:dyDescent="0.25">
      <c r="H41" s="193" t="s">
        <v>104</v>
      </c>
      <c r="I41" s="193"/>
      <c r="J41" s="193"/>
      <c r="K41" s="194"/>
      <c r="L41" s="193">
        <f>H15-BS15</f>
        <v>8907.3322287231604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Modelagem</vt:lpstr>
      <vt:lpstr>Dados Falhas</vt:lpstr>
      <vt:lpstr>Análises Quantitativas de Falha</vt:lpstr>
      <vt:lpstr>Weibull Prensa I</vt:lpstr>
      <vt:lpstr>Weibull Prensa IV</vt:lpstr>
      <vt:lpstr>Weibull Misturador</vt:lpstr>
      <vt:lpstr>Weibull Embaladora</vt:lpstr>
      <vt:lpstr>Weibull Envasadora</vt:lpstr>
      <vt:lpstr>Weibull Líquidos</vt:lpstr>
      <vt:lpstr>Resumo Confiabilidade</vt:lpstr>
      <vt:lpstr>Custos</vt:lpstr>
      <vt:lpstr>Descrição das variáveis</vt:lpstr>
      <vt:lpstr>Cenário 1</vt:lpstr>
      <vt:lpstr>Cenário 2</vt:lpstr>
      <vt:lpstr>Cenário 3</vt:lpstr>
      <vt:lpstr>Cenário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pcpqu</dc:creator>
  <cp:lastModifiedBy>Tarciso Castro</cp:lastModifiedBy>
  <dcterms:created xsi:type="dcterms:W3CDTF">2018-05-28T13:51:52Z</dcterms:created>
  <dcterms:modified xsi:type="dcterms:W3CDTF">2022-07-01T23:51:39Z</dcterms:modified>
</cp:coreProperties>
</file>